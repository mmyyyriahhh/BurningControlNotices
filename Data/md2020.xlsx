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W:\Duty Desk\Duty Desk Spreadsheets\Historical Burn Data\"/>
    </mc:Choice>
  </mc:AlternateContent>
  <xr:revisionPtr revIDLastSave="0" documentId="13_ncr:1_{AF739A4D-030C-4AB5-AAEC-61E5B7BE57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" sheetId="1" r:id="rId1"/>
    <sheet name="Feb" sheetId="2" r:id="rId2"/>
    <sheet name="March" sheetId="4" r:id="rId3"/>
    <sheet name="April" sheetId="5" r:id="rId4"/>
    <sheet name="May" sheetId="8" r:id="rId5"/>
    <sheet name="Jun" sheetId="9" r:id="rId6"/>
    <sheet name="Jul" sheetId="10" r:id="rId7"/>
    <sheet name="Aug" sheetId="11" r:id="rId8"/>
    <sheet name="Sep" sheetId="13" r:id="rId9"/>
    <sheet name="Oct" sheetId="15" r:id="rId10"/>
    <sheet name="Nov" sheetId="16" r:id="rId11"/>
    <sheet name="Dec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" i="9" l="1"/>
  <c r="AH8" i="13"/>
  <c r="AH8" i="16"/>
  <c r="Z38" i="8" l="1"/>
  <c r="AD39" i="2" l="1"/>
  <c r="AE39" i="2"/>
  <c r="AF39" i="2"/>
  <c r="AG39" i="2"/>
  <c r="AH39" i="2"/>
  <c r="AG50" i="2"/>
  <c r="AD38" i="2"/>
  <c r="AE38" i="2"/>
  <c r="AF38" i="2"/>
  <c r="AG38" i="2"/>
  <c r="AH38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D39" i="1"/>
  <c r="AE39" i="1"/>
  <c r="AF39" i="1"/>
  <c r="AG39" i="1"/>
  <c r="AH39" i="1"/>
  <c r="AG50" i="1"/>
  <c r="AD38" i="1"/>
  <c r="AE38" i="1"/>
  <c r="AF38" i="1"/>
  <c r="AG38" i="1"/>
  <c r="AH38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H34" i="5"/>
  <c r="AH35" i="5"/>
  <c r="AI34" i="4"/>
  <c r="AI22" i="8"/>
  <c r="AH35" i="16"/>
  <c r="AH34" i="16"/>
  <c r="AI35" i="17"/>
  <c r="AI34" i="17"/>
  <c r="AI35" i="15"/>
  <c r="AI34" i="15"/>
  <c r="AH35" i="13"/>
  <c r="AH34" i="13"/>
  <c r="AI35" i="11"/>
  <c r="AI34" i="11"/>
  <c r="AI35" i="10"/>
  <c r="AH35" i="9"/>
  <c r="AI35" i="8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G50" i="17"/>
  <c r="D38" i="17"/>
  <c r="E38" i="17"/>
  <c r="F38" i="17"/>
  <c r="G38" i="17"/>
  <c r="H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G50" i="16"/>
  <c r="D38" i="16"/>
  <c r="E38" i="16"/>
  <c r="F38" i="16"/>
  <c r="G38" i="16"/>
  <c r="H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H33" i="16"/>
  <c r="AH32" i="16"/>
  <c r="AH31" i="16"/>
  <c r="AH30" i="16"/>
  <c r="AH29" i="16"/>
  <c r="AH28" i="16"/>
  <c r="AH27" i="16"/>
  <c r="AH26" i="16"/>
  <c r="AH25" i="16"/>
  <c r="AH24" i="16"/>
  <c r="AH23" i="16"/>
  <c r="AH22" i="16"/>
  <c r="AH21" i="16"/>
  <c r="AH20" i="16"/>
  <c r="AH19" i="16"/>
  <c r="AH18" i="16"/>
  <c r="AH17" i="16"/>
  <c r="AH16" i="16"/>
  <c r="AH15" i="16"/>
  <c r="AH14" i="16"/>
  <c r="AH13" i="16"/>
  <c r="AH12" i="16"/>
  <c r="AH11" i="16"/>
  <c r="AH10" i="16"/>
  <c r="AH9" i="16"/>
  <c r="AH7" i="16"/>
  <c r="AH6" i="16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G50" i="15"/>
  <c r="D38" i="15"/>
  <c r="E38" i="15"/>
  <c r="F38" i="15"/>
  <c r="G38" i="15"/>
  <c r="H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I6" i="15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G50" i="13"/>
  <c r="D38" i="13"/>
  <c r="E38" i="13"/>
  <c r="F38" i="13"/>
  <c r="G38" i="13"/>
  <c r="H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H33" i="13"/>
  <c r="AH32" i="13"/>
  <c r="AH31" i="13"/>
  <c r="AH30" i="13"/>
  <c r="AH29" i="13"/>
  <c r="AH28" i="13"/>
  <c r="AH27" i="13"/>
  <c r="AH26" i="13"/>
  <c r="AH25" i="13"/>
  <c r="AH24" i="13"/>
  <c r="AH23" i="13"/>
  <c r="AH22" i="13"/>
  <c r="AH21" i="13"/>
  <c r="AH20" i="13"/>
  <c r="AH19" i="13"/>
  <c r="AH18" i="13"/>
  <c r="AH17" i="13"/>
  <c r="AH16" i="13"/>
  <c r="AH15" i="13"/>
  <c r="AH14" i="13"/>
  <c r="AH13" i="13"/>
  <c r="AH12" i="13"/>
  <c r="AH11" i="13"/>
  <c r="AH10" i="13"/>
  <c r="AH9" i="13"/>
  <c r="AH7" i="13"/>
  <c r="AH6" i="13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G50" i="11"/>
  <c r="D38" i="11"/>
  <c r="E38" i="11"/>
  <c r="F38" i="11"/>
  <c r="G38" i="11"/>
  <c r="H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G50" i="10"/>
  <c r="D38" i="10"/>
  <c r="E38" i="10"/>
  <c r="F38" i="10"/>
  <c r="G38" i="10"/>
  <c r="H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4" i="10"/>
  <c r="AI33" i="10"/>
  <c r="AI32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I6" i="10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G50" i="9"/>
  <c r="D38" i="9"/>
  <c r="E38" i="9"/>
  <c r="F38" i="9"/>
  <c r="G38" i="9"/>
  <c r="H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4" i="9"/>
  <c r="AH33" i="9"/>
  <c r="AH32" i="9"/>
  <c r="AH31" i="9"/>
  <c r="AH30" i="9"/>
  <c r="AH29" i="9"/>
  <c r="AH28" i="9"/>
  <c r="AH27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7" i="9"/>
  <c r="AH6" i="9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G50" i="8"/>
  <c r="D38" i="8"/>
  <c r="E38" i="8"/>
  <c r="F38" i="8"/>
  <c r="G38" i="8"/>
  <c r="H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AA38" i="8"/>
  <c r="AB38" i="8"/>
  <c r="AC38" i="8"/>
  <c r="AD38" i="8"/>
  <c r="AE38" i="8"/>
  <c r="AF38" i="8"/>
  <c r="AG38" i="8"/>
  <c r="AH38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I6" i="8"/>
  <c r="AG50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G50" i="4"/>
  <c r="D38" i="4"/>
  <c r="E38" i="4"/>
  <c r="F38" i="4"/>
  <c r="G38" i="4"/>
  <c r="H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5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G51" i="17" l="1"/>
  <c r="AG51" i="8"/>
  <c r="AG53" i="17"/>
  <c r="AG51" i="5"/>
  <c r="AG51" i="4"/>
  <c r="AG53" i="5"/>
  <c r="AG53" i="8"/>
  <c r="AG51" i="15"/>
  <c r="AG53" i="15"/>
  <c r="AG51" i="1"/>
  <c r="AG53" i="4"/>
  <c r="AG51" i="16"/>
  <c r="AG53" i="1"/>
  <c r="AG53" i="16"/>
  <c r="AG51" i="2"/>
  <c r="AG53" i="2"/>
  <c r="AG51" i="13"/>
  <c r="AG53" i="13"/>
  <c r="AG53" i="11"/>
  <c r="AG51" i="11"/>
  <c r="AG53" i="10"/>
  <c r="AG51" i="10"/>
  <c r="AG51" i="9"/>
  <c r="AG53" i="9"/>
  <c r="AG52" i="8" l="1"/>
  <c r="AG52" i="17"/>
  <c r="AG52" i="4"/>
  <c r="AG52" i="1"/>
  <c r="AG52" i="5"/>
  <c r="AG52" i="16"/>
  <c r="AG52" i="15"/>
  <c r="AG52" i="2"/>
  <c r="AG52" i="13"/>
  <c r="AG52" i="11"/>
  <c r="AG52" i="10"/>
  <c r="AG52" i="9"/>
</calcChain>
</file>

<file path=xl/sharedStrings.xml><?xml version="1.0" encoding="utf-8"?>
<sst xmlns="http://schemas.openxmlformats.org/spreadsheetml/2006/main" count="11772" uniqueCount="221">
  <si>
    <t>Air Resources Board</t>
  </si>
  <si>
    <t>DAILY RECORD OF AGRICULTURAL BURNING CONTROL NOTICES</t>
  </si>
  <si>
    <t>Meteorology Section</t>
  </si>
  <si>
    <t>S</t>
  </si>
  <si>
    <t>H</t>
  </si>
  <si>
    <t>AIR BASIN</t>
  </si>
  <si>
    <t>Burn %</t>
  </si>
  <si>
    <t>North Coast High</t>
  </si>
  <si>
    <t>G</t>
  </si>
  <si>
    <t>F</t>
  </si>
  <si>
    <t>North Coast Low</t>
  </si>
  <si>
    <t>B</t>
  </si>
  <si>
    <t>NB</t>
  </si>
  <si>
    <t>San Francisco Bay North High</t>
  </si>
  <si>
    <t>San Francisco Bay North Low</t>
  </si>
  <si>
    <t>San Francisco Bay South High</t>
  </si>
  <si>
    <t>San Francisco Bay South Low</t>
  </si>
  <si>
    <t>San Francisco Bay Coastal High</t>
  </si>
  <si>
    <t>San Francisco Bay Coastal Low</t>
  </si>
  <si>
    <t>North Central Coast Coastal</t>
  </si>
  <si>
    <t>North Central Coast Inland</t>
  </si>
  <si>
    <t>South Central Coast High</t>
  </si>
  <si>
    <t>M</t>
  </si>
  <si>
    <t>South Central Coast South Low</t>
  </si>
  <si>
    <t>South Central Coast North Low (Coastal)</t>
  </si>
  <si>
    <t>South Central Coast North Low (Inland)</t>
  </si>
  <si>
    <t>South Coast</t>
  </si>
  <si>
    <t>San Diego West High</t>
  </si>
  <si>
    <t>San Diego West Low</t>
  </si>
  <si>
    <t>Mojave Desert</t>
  </si>
  <si>
    <t>Salton Sea and San Diego East</t>
  </si>
  <si>
    <t>Sacramento Valley High</t>
  </si>
  <si>
    <t>Sacramento Valley Low</t>
  </si>
  <si>
    <t>Northeast Plateau</t>
  </si>
  <si>
    <t>Mountain Counties North</t>
  </si>
  <si>
    <t>Mountain Counties South</t>
  </si>
  <si>
    <t>Lake Tahoe</t>
  </si>
  <si>
    <t>Bay Area Fall / Spring Tule Burn Allocation (Acres)</t>
  </si>
  <si>
    <t>*Elevation Other Than 3,000 Feet (1,000's of Feet)</t>
  </si>
  <si>
    <t>Legend</t>
  </si>
  <si>
    <t>All Air Basins:</t>
  </si>
  <si>
    <t>Sacramento Valley Low Only:</t>
  </si>
  <si>
    <t>Select Air Basins:</t>
  </si>
  <si>
    <t xml:space="preserve">Permissive Burn Day Decision </t>
  </si>
  <si>
    <t>nnXX</t>
  </si>
  <si>
    <t>nn = The Number of Acres Allocated (in 1,000's)</t>
  </si>
  <si>
    <t>Superior</t>
  </si>
  <si>
    <t>Marginal Burn Day Decision</t>
  </si>
  <si>
    <t>XX = The Conditions (Listed Below)</t>
  </si>
  <si>
    <t>Good</t>
  </si>
  <si>
    <t>No-Burn Day Decision</t>
  </si>
  <si>
    <t>U</t>
  </si>
  <si>
    <t>Updated Acreage</t>
  </si>
  <si>
    <t>Fair</t>
  </si>
  <si>
    <t xml:space="preserve">DB </t>
  </si>
  <si>
    <t>Delayed Burn Day Decision</t>
  </si>
  <si>
    <t>N</t>
  </si>
  <si>
    <t>North Wind Day</t>
  </si>
  <si>
    <t>Marginal</t>
  </si>
  <si>
    <t xml:space="preserve">DN </t>
  </si>
  <si>
    <t>Delayed No-Burn Day Decision</t>
  </si>
  <si>
    <t>W</t>
  </si>
  <si>
    <t>Wet Conditions</t>
  </si>
  <si>
    <t>L</t>
  </si>
  <si>
    <t>Limited</t>
  </si>
  <si>
    <t>Ab</t>
  </si>
  <si>
    <t>Decision Amended to Burn Day</t>
  </si>
  <si>
    <t>P</t>
  </si>
  <si>
    <t>Prunings Only</t>
  </si>
  <si>
    <t>An</t>
  </si>
  <si>
    <t>Decision Amended to No-Burn Day</t>
  </si>
  <si>
    <t>R</t>
  </si>
  <si>
    <t>Restricted Field Day</t>
  </si>
  <si>
    <t>Totals:</t>
  </si>
  <si>
    <t>B^</t>
  </si>
  <si>
    <t xml:space="preserve">Burn Day, But Burn Restrictions Requested </t>
  </si>
  <si>
    <t>E</t>
  </si>
  <si>
    <t>Extended Burn Hours to 5pm</t>
  </si>
  <si>
    <t>Number Of DaysThis Month</t>
  </si>
  <si>
    <t xml:space="preserve">     by CDF, USFS, or APCD</t>
  </si>
  <si>
    <t>Example: 8N = 8,000 Acres associated with a North Wind condition</t>
  </si>
  <si>
    <t>Burn Day Declared for All Basins</t>
  </si>
  <si>
    <t>NB^</t>
  </si>
  <si>
    <t>No-Burn Day as Requested</t>
  </si>
  <si>
    <t>No-Burn Day Declared for Some Basins</t>
  </si>
  <si>
    <t>San Joaquin Valley Authorized:</t>
  </si>
  <si>
    <t>No-Burn Day Declared for All Basins</t>
  </si>
  <si>
    <t xml:space="preserve">nnP  </t>
  </si>
  <si>
    <t>nn = The number of tons of Particulate Matter</t>
  </si>
  <si>
    <t>nnV</t>
  </si>
  <si>
    <t>nn = The number of tons of Volatile Organic Compounds</t>
  </si>
  <si>
    <t>Air Quality Planning and Science Division</t>
  </si>
  <si>
    <t>North Central Coast San Lorenzo Valley</t>
  </si>
  <si>
    <t xml:space="preserve">Lake County  </t>
  </si>
  <si>
    <t>Lake County  (Burn Ban Through November)</t>
  </si>
  <si>
    <t>Great Basin Valleys North</t>
  </si>
  <si>
    <t>Great Basin Valleys South</t>
  </si>
  <si>
    <t>Great Basin Valleys North(Alpine, Mono)</t>
  </si>
  <si>
    <t>Great Basin Valleys South(Inyo)</t>
  </si>
  <si>
    <t>San Joaquin Valley Authorized VOC / PM10 / NOx</t>
  </si>
  <si>
    <t>M^ OR NB^</t>
  </si>
  <si>
    <t>Marginal or No-Burn Day as Requested</t>
  </si>
  <si>
    <t>January 2020</t>
  </si>
  <si>
    <t>February 2020</t>
  </si>
  <si>
    <t>March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</si>
  <si>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</si>
  <si>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</si>
  <si>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</si>
  <si>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</si>
  <si>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</si>
  <si>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</si>
  <si>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</si>
  <si>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</si>
  <si>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4.2p</t>
  </si>
  <si>
    <t>5.5p</t>
  </si>
  <si>
    <t>2.3p</t>
  </si>
  <si>
    <t>2W</t>
  </si>
  <si>
    <t>2.7p</t>
  </si>
  <si>
    <t>2w</t>
  </si>
  <si>
    <t>10.2p</t>
  </si>
  <si>
    <t>32.7p</t>
  </si>
  <si>
    <t>9.9p</t>
  </si>
  <si>
    <t>7.5p</t>
  </si>
  <si>
    <t>1.2p</t>
  </si>
  <si>
    <t>2R</t>
  </si>
  <si>
    <t>8.9P</t>
  </si>
  <si>
    <t>2.1p</t>
  </si>
  <si>
    <t>2.9p</t>
  </si>
  <si>
    <t>1.5P</t>
  </si>
  <si>
    <t>2P</t>
  </si>
  <si>
    <t>152.2p</t>
  </si>
  <si>
    <t>31.9p</t>
  </si>
  <si>
    <t>*9:15am Colusa requested add'nl acres.  allocated an extra 400ac.</t>
  </si>
  <si>
    <t>2.0+</t>
  </si>
  <si>
    <t>2.5p</t>
  </si>
  <si>
    <t>2p</t>
  </si>
  <si>
    <t>2.2p</t>
  </si>
  <si>
    <t>0.6p</t>
  </si>
  <si>
    <t>1.3p</t>
  </si>
  <si>
    <t>5.1p</t>
  </si>
  <si>
    <t>11.7p</t>
  </si>
  <si>
    <t>2.0P</t>
  </si>
  <si>
    <t>2r</t>
  </si>
  <si>
    <t>40.7p</t>
  </si>
  <si>
    <t>35.9p</t>
  </si>
  <si>
    <t>15.1p</t>
  </si>
  <si>
    <t>63.5p</t>
  </si>
  <si>
    <t>34.9p</t>
  </si>
  <si>
    <t>37.4p</t>
  </si>
  <si>
    <t>53.2p</t>
  </si>
  <si>
    <t>22.3p</t>
  </si>
  <si>
    <t>30.2p</t>
  </si>
  <si>
    <t>16.8p</t>
  </si>
  <si>
    <t>20.9p</t>
  </si>
  <si>
    <t>17.7p</t>
  </si>
  <si>
    <t>20p</t>
  </si>
  <si>
    <t>24.3p</t>
  </si>
  <si>
    <t>April 2020</t>
  </si>
  <si>
    <t>9.7N</t>
  </si>
  <si>
    <t>14.5N</t>
  </si>
  <si>
    <t>8.7N</t>
  </si>
  <si>
    <t>3n</t>
  </si>
  <si>
    <t>5.3n</t>
  </si>
  <si>
    <t>9.7n</t>
  </si>
  <si>
    <t>4.7n</t>
  </si>
  <si>
    <t>10.9n</t>
  </si>
  <si>
    <t>15n</t>
  </si>
  <si>
    <t>*</t>
  </si>
  <si>
    <t>17.8n</t>
  </si>
  <si>
    <t>19.3n</t>
  </si>
  <si>
    <t>7.3n</t>
  </si>
  <si>
    <t>7.7n</t>
  </si>
  <si>
    <t>4.6n</t>
  </si>
  <si>
    <t>8.6n</t>
  </si>
  <si>
    <t>6.1n</t>
  </si>
  <si>
    <t>2.6n</t>
  </si>
  <si>
    <t>16n</t>
  </si>
  <si>
    <t>9n</t>
  </si>
  <si>
    <t>4.5n</t>
  </si>
  <si>
    <t>13.9n</t>
  </si>
  <si>
    <t>16.1n</t>
  </si>
  <si>
    <t>11.7n</t>
  </si>
  <si>
    <t>.</t>
  </si>
  <si>
    <t>0.7n</t>
  </si>
  <si>
    <t>7.6n</t>
  </si>
  <si>
    <t>1.4n</t>
  </si>
  <si>
    <t>4.2N</t>
  </si>
  <si>
    <t>0.26n</t>
  </si>
  <si>
    <t>25.4n</t>
  </si>
  <si>
    <t>3.3N</t>
  </si>
  <si>
    <t>7.9n</t>
  </si>
  <si>
    <t>7.2N</t>
  </si>
  <si>
    <t>9.8N</t>
  </si>
  <si>
    <t>3.6n</t>
  </si>
  <si>
    <t>1.3n</t>
  </si>
  <si>
    <t>7.6N</t>
  </si>
  <si>
    <t>2.7n</t>
  </si>
  <si>
    <t>21.6n</t>
  </si>
  <si>
    <t>14.7N</t>
  </si>
  <si>
    <t>8.8N</t>
  </si>
  <si>
    <t>12.9n</t>
  </si>
  <si>
    <t>5.9n</t>
  </si>
  <si>
    <t>0.8n</t>
  </si>
  <si>
    <t>0.9p</t>
  </si>
  <si>
    <t>1.6p</t>
  </si>
  <si>
    <t>1.5p</t>
  </si>
  <si>
    <t>0.4p</t>
  </si>
  <si>
    <t>0.1p</t>
  </si>
  <si>
    <t>0.8p</t>
  </si>
  <si>
    <t>3.3p</t>
  </si>
  <si>
    <t>5.2p</t>
  </si>
  <si>
    <t>1.9p</t>
  </si>
  <si>
    <t>0.48p</t>
  </si>
  <si>
    <t>2.0R</t>
  </si>
  <si>
    <t>2.0r</t>
  </si>
  <si>
    <t>4.0p</t>
  </si>
  <si>
    <t>4.1p</t>
  </si>
  <si>
    <t>2.6p</t>
  </si>
  <si>
    <t>4.9p</t>
  </si>
  <si>
    <t>28.4p</t>
  </si>
  <si>
    <t>8.2p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</si>
</sst>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i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4"/>
      <name val="Arial"/>
      <family val="2"/>
    </font>
    <font>
      <sz val="11"/>
      <name val="Arial"/>
      <family val="2"/>
    </font>
    <font>
      <b/>
      <sz val="10"/>
      <color indexed="52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FF"/>
      <name val="Arial"/>
      <family val="2"/>
    </font>
    <font>
      <sz val="11"/>
      <color rgb="FFFF00FF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2" fillId="0" borderId="0" xfId="0" applyFont="1"/>
    <xf numFmtId="9" fontId="16" fillId="0" borderId="0" xfId="1"/>
    <xf numFmtId="49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9" fontId="6" fillId="2" borderId="6" xfId="1" applyFont="1" applyFill="1" applyBorder="1" applyAlignment="1">
      <alignment horizontal="center"/>
    </xf>
    <xf numFmtId="0" fontId="5" fillId="0" borderId="0" xfId="0" applyFont="1"/>
    <xf numFmtId="9" fontId="7" fillId="2" borderId="7" xfId="1" applyFont="1" applyFill="1" applyBorder="1"/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9" fontId="7" fillId="2" borderId="10" xfId="1" applyFont="1" applyFill="1" applyBorder="1"/>
    <xf numFmtId="0" fontId="8" fillId="0" borderId="11" xfId="0" applyFont="1" applyBorder="1" applyAlignment="1">
      <alignment horizontal="center"/>
    </xf>
    <xf numFmtId="9" fontId="7" fillId="2" borderId="12" xfId="1" applyFont="1" applyFill="1" applyBorder="1"/>
    <xf numFmtId="0" fontId="9" fillId="0" borderId="13" xfId="0" applyFont="1" applyBorder="1" applyAlignment="1">
      <alignment horizontal="center"/>
    </xf>
    <xf numFmtId="9" fontId="7" fillId="2" borderId="14" xfId="1" applyFont="1" applyFill="1" applyBorder="1"/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9" fontId="7" fillId="2" borderId="17" xfId="1" applyFont="1" applyFill="1" applyBorder="1"/>
    <xf numFmtId="0" fontId="3" fillId="0" borderId="18" xfId="0" applyFont="1" applyBorder="1" applyAlignment="1">
      <alignment horizontal="center"/>
    </xf>
    <xf numFmtId="0" fontId="3" fillId="0" borderId="0" xfId="0" applyFont="1"/>
    <xf numFmtId="9" fontId="3" fillId="0" borderId="0" xfId="1" applyFont="1" applyAlignment="1">
      <alignment horizontal="center"/>
    </xf>
    <xf numFmtId="0" fontId="11" fillId="0" borderId="16" xfId="0" applyFont="1" applyBorder="1" applyAlignment="1">
      <alignment horizontal="center"/>
    </xf>
    <xf numFmtId="9" fontId="12" fillId="0" borderId="0" xfId="1" applyFont="1" applyAlignment="1">
      <alignment horizontal="center"/>
    </xf>
    <xf numFmtId="0" fontId="12" fillId="0" borderId="0" xfId="0" applyFont="1"/>
    <xf numFmtId="1" fontId="0" fillId="6" borderId="20" xfId="0" applyNumberFormat="1" applyFill="1" applyBorder="1"/>
    <xf numFmtId="0" fontId="0" fillId="6" borderId="0" xfId="0" applyFill="1"/>
    <xf numFmtId="0" fontId="11" fillId="0" borderId="0" xfId="0" applyFont="1"/>
    <xf numFmtId="0" fontId="6" fillId="0" borderId="21" xfId="0" applyFont="1" applyBorder="1"/>
    <xf numFmtId="0" fontId="0" fillId="3" borderId="0" xfId="0" applyFill="1"/>
    <xf numFmtId="0" fontId="0" fillId="5" borderId="20" xfId="0" applyFill="1" applyBorder="1"/>
    <xf numFmtId="0" fontId="6" fillId="5" borderId="0" xfId="0" applyFont="1" applyFill="1"/>
    <xf numFmtId="0" fontId="0" fillId="5" borderId="0" xfId="0" applyFill="1"/>
    <xf numFmtId="0" fontId="0" fillId="5" borderId="22" xfId="0" applyFill="1" applyBorder="1"/>
    <xf numFmtId="0" fontId="0" fillId="4" borderId="20" xfId="0" applyFill="1" applyBorder="1"/>
    <xf numFmtId="0" fontId="0" fillId="4" borderId="0" xfId="0" applyFill="1"/>
    <xf numFmtId="0" fontId="6" fillId="4" borderId="0" xfId="0" applyFont="1" applyFill="1"/>
    <xf numFmtId="0" fontId="0" fillId="4" borderId="23" xfId="0" applyFill="1" applyBorder="1"/>
    <xf numFmtId="0" fontId="7" fillId="0" borderId="21" xfId="0" applyFont="1" applyBorder="1"/>
    <xf numFmtId="0" fontId="7" fillId="5" borderId="0" xfId="0" applyFont="1" applyFill="1"/>
    <xf numFmtId="0" fontId="7" fillId="4" borderId="0" xfId="0" applyFont="1" applyFill="1"/>
    <xf numFmtId="0" fontId="13" fillId="0" borderId="21" xfId="0" applyFont="1" applyBorder="1"/>
    <xf numFmtId="0" fontId="14" fillId="0" borderId="21" xfId="0" applyFont="1" applyBorder="1"/>
    <xf numFmtId="0" fontId="0" fillId="4" borderId="24" xfId="0" applyFill="1" applyBorder="1"/>
    <xf numFmtId="0" fontId="0" fillId="4" borderId="25" xfId="0" applyFill="1" applyBorder="1"/>
    <xf numFmtId="0" fontId="7" fillId="4" borderId="25" xfId="0" applyFont="1" applyFill="1" applyBorder="1"/>
    <xf numFmtId="0" fontId="0" fillId="4" borderId="26" xfId="0" applyFill="1" applyBorder="1"/>
    <xf numFmtId="0" fontId="0" fillId="0" borderId="23" xfId="0" applyBorder="1"/>
    <xf numFmtId="0" fontId="6" fillId="0" borderId="0" xfId="0" applyFont="1"/>
    <xf numFmtId="0" fontId="0" fillId="0" borderId="21" xfId="0" applyBorder="1"/>
    <xf numFmtId="0" fontId="7" fillId="3" borderId="21" xfId="0" applyFont="1" applyFill="1" applyBorder="1"/>
    <xf numFmtId="0" fontId="0" fillId="3" borderId="27" xfId="0" applyFill="1" applyBorder="1"/>
    <xf numFmtId="0" fontId="0" fillId="3" borderId="1" xfId="0" applyFill="1" applyBorder="1"/>
    <xf numFmtId="0" fontId="0" fillId="5" borderId="28" xfId="0" applyFill="1" applyBorder="1"/>
    <xf numFmtId="0" fontId="7" fillId="5" borderId="1" xfId="0" applyFont="1" applyFill="1" applyBorder="1"/>
    <xf numFmtId="0" fontId="0" fillId="5" borderId="1" xfId="0" applyFill="1" applyBorder="1"/>
    <xf numFmtId="0" fontId="0" fillId="5" borderId="29" xfId="0" applyFill="1" applyBorder="1"/>
    <xf numFmtId="0" fontId="0" fillId="0" borderId="1" xfId="0" applyBorder="1"/>
    <xf numFmtId="0" fontId="0" fillId="0" borderId="30" xfId="0" applyBorder="1"/>
    <xf numFmtId="0" fontId="5" fillId="2" borderId="18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164" fontId="10" fillId="5" borderId="8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4" fontId="17" fillId="5" borderId="8" xfId="0" applyNumberFormat="1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0" fillId="0" borderId="17" xfId="0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17" fontId="4" fillId="0" borderId="0" xfId="0" applyNumberFormat="1" applyFont="1" applyAlignment="1">
      <alignment horizontal="center"/>
    </xf>
    <xf numFmtId="0" fontId="15" fillId="0" borderId="18" xfId="0" applyFont="1" applyBorder="1" applyAlignment="1">
      <alignment horizontal="left"/>
    </xf>
    <xf numFmtId="0" fontId="15" fillId="0" borderId="16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9" fontId="7" fillId="2" borderId="33" xfId="1" applyFont="1" applyFill="1" applyBorder="1"/>
    <xf numFmtId="0" fontId="3" fillId="0" borderId="1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9" fillId="0" borderId="0" xfId="0" applyFont="1"/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17" fillId="7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164" fontId="17" fillId="7" borderId="8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164" fontId="20" fillId="5" borderId="8" xfId="0" applyNumberFormat="1" applyFont="1" applyFill="1" applyBorder="1" applyAlignment="1">
      <alignment horizontal="center"/>
    </xf>
    <xf numFmtId="0" fontId="18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164" fontId="18" fillId="5" borderId="8" xfId="0" applyNumberFormat="1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17" fillId="5" borderId="15" xfId="0" applyNumberFormat="1" applyFont="1" applyFill="1" applyBorder="1" applyAlignment="1">
      <alignment horizontal="center"/>
    </xf>
    <xf numFmtId="0" fontId="5" fillId="0" borderId="4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4" borderId="42" xfId="0" applyFont="1" applyFill="1" applyBorder="1" applyAlignment="1">
      <alignment horizontal="left"/>
    </xf>
    <xf numFmtId="0" fontId="5" fillId="4" borderId="43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5" fillId="5" borderId="39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left"/>
    </xf>
    <xf numFmtId="0" fontId="5" fillId="5" borderId="41" xfId="0" applyFont="1" applyFill="1" applyBorder="1" applyAlignment="1">
      <alignment horizontal="left"/>
    </xf>
    <xf numFmtId="0" fontId="5" fillId="5" borderId="44" xfId="0" applyFont="1" applyFill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5" borderId="45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3" fillId="0" borderId="46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5" fillId="4" borderId="39" xfId="0" applyFont="1" applyFill="1" applyBorder="1" applyAlignment="1">
      <alignment horizontal="left"/>
    </xf>
    <xf numFmtId="0" fontId="5" fillId="4" borderId="40" xfId="0" applyFont="1" applyFill="1" applyBorder="1" applyAlignment="1">
      <alignment horizontal="left"/>
    </xf>
    <xf numFmtId="0" fontId="5" fillId="4" borderId="41" xfId="0" applyFont="1" applyFill="1" applyBorder="1" applyAlignment="1">
      <alignment horizontal="left"/>
    </xf>
    <xf numFmtId="0" fontId="5" fillId="4" borderId="44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left"/>
    </xf>
    <xf numFmtId="0" fontId="5" fillId="4" borderId="45" xfId="0" applyFont="1" applyFill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19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1521"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9"/>
  <sheetViews>
    <sheetView tabSelected="1"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102</v>
      </c>
    </row>
    <row r="4" spans="1:44" s="5" customFormat="1" ht="15.75" customHeight="1" thickBot="1" x14ac:dyDescent="0.3">
      <c r="C4" s="6"/>
      <c r="D4" s="5" t="s">
        <v>4</v>
      </c>
      <c r="G4" s="6" t="s">
        <v>3</v>
      </c>
      <c r="H4" s="5" t="s">
        <v>3</v>
      </c>
      <c r="N4" s="6" t="s">
        <v>3</v>
      </c>
      <c r="O4" s="5" t="s">
        <v>3</v>
      </c>
      <c r="U4" s="5" t="s">
        <v>3</v>
      </c>
      <c r="V4" s="5" t="s">
        <v>3</v>
      </c>
      <c r="W4" s="5" t="s">
        <v>4</v>
      </c>
      <c r="AB4" s="5" t="s">
        <v>3</v>
      </c>
      <c r="AC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9</v>
      </c>
      <c r="E6" s="72" t="s">
        <v>9</v>
      </c>
      <c r="F6" s="72" t="s">
        <v>9</v>
      </c>
      <c r="G6" s="72" t="s">
        <v>9</v>
      </c>
      <c r="H6" s="72" t="s">
        <v>9</v>
      </c>
      <c r="I6" s="72" t="s">
        <v>9</v>
      </c>
      <c r="J6" s="72" t="s">
        <v>9</v>
      </c>
      <c r="K6" s="72" t="s">
        <v>8</v>
      </c>
      <c r="L6" s="72" t="s">
        <v>8</v>
      </c>
      <c r="M6" s="72" t="s">
        <v>8</v>
      </c>
      <c r="N6" s="72" t="s">
        <v>8</v>
      </c>
      <c r="O6" s="72" t="s">
        <v>8</v>
      </c>
      <c r="P6" s="72" t="s">
        <v>8</v>
      </c>
      <c r="Q6" s="72" t="s">
        <v>8</v>
      </c>
      <c r="R6" s="72" t="s">
        <v>9</v>
      </c>
      <c r="S6" s="72" t="s">
        <v>8</v>
      </c>
      <c r="T6" s="72" t="s">
        <v>8</v>
      </c>
      <c r="U6" s="72" t="s">
        <v>8</v>
      </c>
      <c r="V6" s="72" t="s">
        <v>9</v>
      </c>
      <c r="W6" s="72" t="s">
        <v>9</v>
      </c>
      <c r="X6" s="72" t="s">
        <v>9</v>
      </c>
      <c r="Y6" s="72" t="s">
        <v>9</v>
      </c>
      <c r="Z6" s="72" t="s">
        <v>9</v>
      </c>
      <c r="AA6" s="72" t="s">
        <v>8</v>
      </c>
      <c r="AB6" s="72" t="s">
        <v>8</v>
      </c>
      <c r="AC6" s="72" t="s">
        <v>8</v>
      </c>
      <c r="AD6" s="72" t="s">
        <v>8</v>
      </c>
      <c r="AE6" s="72" t="s">
        <v>8</v>
      </c>
      <c r="AF6" s="72" t="s">
        <v>9</v>
      </c>
      <c r="AG6" s="72" t="s">
        <v>9</v>
      </c>
      <c r="AH6" s="72" t="s">
        <v>9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38" t="s">
        <v>10</v>
      </c>
      <c r="B7" s="139"/>
      <c r="C7" s="14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44" t="s">
        <v>93</v>
      </c>
      <c r="B8" s="145"/>
      <c r="C8" s="146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47" t="s">
        <v>13</v>
      </c>
      <c r="B9" s="148"/>
      <c r="C9" s="149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79" t="s">
        <v>11</v>
      </c>
      <c r="AG9" s="79" t="s">
        <v>11</v>
      </c>
      <c r="AH9" s="79" t="s">
        <v>11</v>
      </c>
      <c r="AI9" s="13">
        <f t="shared" si="0"/>
        <v>1</v>
      </c>
    </row>
    <row r="10" spans="1:44" ht="15.75" customHeight="1" x14ac:dyDescent="0.25">
      <c r="A10" s="150" t="s">
        <v>14</v>
      </c>
      <c r="B10" s="151"/>
      <c r="C10" s="152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80" t="s">
        <v>11</v>
      </c>
      <c r="AG10" s="80" t="s">
        <v>11</v>
      </c>
      <c r="AH10" s="80" t="s">
        <v>11</v>
      </c>
      <c r="AI10" s="21">
        <f t="shared" si="0"/>
        <v>1</v>
      </c>
    </row>
    <row r="11" spans="1:44" ht="15.75" customHeight="1" x14ac:dyDescent="0.25">
      <c r="A11" s="150" t="s">
        <v>15</v>
      </c>
      <c r="B11" s="151"/>
      <c r="C11" s="152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80" t="s">
        <v>11</v>
      </c>
      <c r="AG11" s="80" t="s">
        <v>11</v>
      </c>
      <c r="AH11" s="80" t="s">
        <v>11</v>
      </c>
      <c r="AI11" s="21">
        <f t="shared" si="0"/>
        <v>1</v>
      </c>
    </row>
    <row r="12" spans="1:44" ht="15.75" customHeight="1" x14ac:dyDescent="0.25">
      <c r="A12" s="150" t="s">
        <v>16</v>
      </c>
      <c r="B12" s="151"/>
      <c r="C12" s="152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80" t="s">
        <v>11</v>
      </c>
      <c r="AG12" s="80" t="s">
        <v>11</v>
      </c>
      <c r="AH12" s="80" t="s">
        <v>11</v>
      </c>
      <c r="AI12" s="21">
        <f t="shared" si="0"/>
        <v>1</v>
      </c>
    </row>
    <row r="13" spans="1:44" ht="15.75" customHeight="1" x14ac:dyDescent="0.25">
      <c r="A13" s="150" t="s">
        <v>17</v>
      </c>
      <c r="B13" s="151"/>
      <c r="C13" s="152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80" t="s">
        <v>11</v>
      </c>
      <c r="AG13" s="80" t="s">
        <v>11</v>
      </c>
      <c r="AH13" s="80" t="s">
        <v>11</v>
      </c>
      <c r="AI13" s="21">
        <f t="shared" si="0"/>
        <v>1</v>
      </c>
    </row>
    <row r="14" spans="1:44" ht="15.75" customHeight="1" x14ac:dyDescent="0.25">
      <c r="A14" s="138" t="s">
        <v>18</v>
      </c>
      <c r="B14" s="139"/>
      <c r="C14" s="14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73" t="s">
        <v>11</v>
      </c>
      <c r="AI14" s="17">
        <f t="shared" si="0"/>
        <v>1</v>
      </c>
    </row>
    <row r="15" spans="1:44" ht="15.75" customHeight="1" x14ac:dyDescent="0.25">
      <c r="A15" s="147" t="s">
        <v>19</v>
      </c>
      <c r="B15" s="148"/>
      <c r="C15" s="149"/>
      <c r="D15" s="20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124" t="s">
        <v>11</v>
      </c>
      <c r="AD15" s="124" t="s">
        <v>11</v>
      </c>
      <c r="AE15" s="124" t="s">
        <v>11</v>
      </c>
      <c r="AF15" s="124" t="s">
        <v>11</v>
      </c>
      <c r="AG15" s="124" t="s">
        <v>11</v>
      </c>
      <c r="AH15" s="124" t="s">
        <v>11</v>
      </c>
      <c r="AI15" s="13">
        <f t="shared" si="0"/>
        <v>1</v>
      </c>
    </row>
    <row r="16" spans="1:44" ht="15.75" customHeight="1" x14ac:dyDescent="0.25">
      <c r="A16" s="150" t="s">
        <v>20</v>
      </c>
      <c r="B16" s="151"/>
      <c r="C16" s="152"/>
      <c r="D16" s="16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23" t="s">
        <v>11</v>
      </c>
      <c r="AD16" s="123" t="s">
        <v>11</v>
      </c>
      <c r="AE16" s="123" t="s">
        <v>11</v>
      </c>
      <c r="AF16" s="123" t="s">
        <v>11</v>
      </c>
      <c r="AG16" s="123" t="s">
        <v>11</v>
      </c>
      <c r="AH16" s="123" t="s">
        <v>11</v>
      </c>
      <c r="AI16" s="21">
        <f t="shared" si="0"/>
        <v>1</v>
      </c>
    </row>
    <row r="17" spans="1:35" ht="15.75" customHeight="1" x14ac:dyDescent="0.25">
      <c r="A17" s="138" t="s">
        <v>92</v>
      </c>
      <c r="B17" s="139"/>
      <c r="C17" s="140"/>
      <c r="D17" s="16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23" t="s">
        <v>11</v>
      </c>
      <c r="AD17" s="123" t="s">
        <v>11</v>
      </c>
      <c r="AE17" s="123" t="s">
        <v>11</v>
      </c>
      <c r="AF17" s="123" t="s">
        <v>11</v>
      </c>
      <c r="AG17" s="123" t="s">
        <v>11</v>
      </c>
      <c r="AH17" s="123" t="s">
        <v>11</v>
      </c>
      <c r="AI17" s="17">
        <f t="shared" si="0"/>
        <v>1</v>
      </c>
    </row>
    <row r="18" spans="1:35" ht="15.75" customHeight="1" x14ac:dyDescent="0.25">
      <c r="A18" s="147" t="s">
        <v>21</v>
      </c>
      <c r="B18" s="148"/>
      <c r="C18" s="149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20" t="s">
        <v>11</v>
      </c>
      <c r="Q18" s="20" t="s">
        <v>11</v>
      </c>
      <c r="R18" s="20" t="s">
        <v>11</v>
      </c>
      <c r="S18" s="20" t="s">
        <v>11</v>
      </c>
      <c r="T18" s="20" t="s">
        <v>11</v>
      </c>
      <c r="U18" s="20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0" t="s">
        <v>11</v>
      </c>
      <c r="AB18" s="20" t="s">
        <v>11</v>
      </c>
      <c r="AC18" s="20" t="s">
        <v>11</v>
      </c>
      <c r="AD18" s="20" t="s">
        <v>11</v>
      </c>
      <c r="AE18" s="20" t="s">
        <v>11</v>
      </c>
      <c r="AF18" s="20" t="s">
        <v>11</v>
      </c>
      <c r="AG18" s="20" t="s">
        <v>11</v>
      </c>
      <c r="AH18" s="20" t="s">
        <v>11</v>
      </c>
      <c r="AI18" s="13">
        <f t="shared" si="0"/>
        <v>1</v>
      </c>
    </row>
    <row r="19" spans="1:35" ht="15.75" customHeight="1" x14ac:dyDescent="0.25">
      <c r="A19" s="150" t="s">
        <v>23</v>
      </c>
      <c r="B19" s="151"/>
      <c r="C19" s="152"/>
      <c r="D19" s="16" t="s">
        <v>11</v>
      </c>
      <c r="E19" s="80" t="s">
        <v>11</v>
      </c>
      <c r="F19" s="80" t="s">
        <v>11</v>
      </c>
      <c r="G19" s="80" t="s">
        <v>11</v>
      </c>
      <c r="H19" s="80" t="s">
        <v>11</v>
      </c>
      <c r="I19" s="80" t="s">
        <v>11</v>
      </c>
      <c r="J19" s="80" t="s">
        <v>11</v>
      </c>
      <c r="K19" s="80" t="s">
        <v>11</v>
      </c>
      <c r="L19" s="80" t="s">
        <v>11</v>
      </c>
      <c r="M19" s="80" t="s">
        <v>11</v>
      </c>
      <c r="N19" s="80" t="s">
        <v>11</v>
      </c>
      <c r="O19" s="80" t="s">
        <v>11</v>
      </c>
      <c r="P19" s="16" t="s">
        <v>11</v>
      </c>
      <c r="Q19" s="16" t="s">
        <v>11</v>
      </c>
      <c r="R19" s="16" t="s">
        <v>11</v>
      </c>
      <c r="S19" s="16" t="s">
        <v>11</v>
      </c>
      <c r="T19" s="16" t="s">
        <v>11</v>
      </c>
      <c r="U19" s="16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16" t="s">
        <v>11</v>
      </c>
      <c r="AB19" s="16" t="s">
        <v>11</v>
      </c>
      <c r="AC19" s="16" t="s">
        <v>11</v>
      </c>
      <c r="AD19" s="16" t="s">
        <v>11</v>
      </c>
      <c r="AE19" s="16" t="s">
        <v>11</v>
      </c>
      <c r="AF19" s="16" t="s">
        <v>11</v>
      </c>
      <c r="AG19" s="16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50" t="s">
        <v>24</v>
      </c>
      <c r="B20" s="151"/>
      <c r="C20" s="152"/>
      <c r="D20" s="16" t="s">
        <v>11</v>
      </c>
      <c r="E20" s="80" t="s">
        <v>11</v>
      </c>
      <c r="F20" s="80" t="s">
        <v>11</v>
      </c>
      <c r="G20" s="80" t="s">
        <v>11</v>
      </c>
      <c r="H20" s="80" t="s">
        <v>11</v>
      </c>
      <c r="I20" s="80" t="s">
        <v>11</v>
      </c>
      <c r="J20" s="80" t="s">
        <v>11</v>
      </c>
      <c r="K20" s="80" t="s">
        <v>11</v>
      </c>
      <c r="L20" s="80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80" t="s">
        <v>11</v>
      </c>
      <c r="AB20" s="80" t="s">
        <v>11</v>
      </c>
      <c r="AC20" s="80" t="s">
        <v>11</v>
      </c>
      <c r="AD20" s="80" t="s">
        <v>11</v>
      </c>
      <c r="AE20" s="80" t="s">
        <v>11</v>
      </c>
      <c r="AF20" s="80" t="s">
        <v>11</v>
      </c>
      <c r="AG20" s="80" t="s">
        <v>11</v>
      </c>
      <c r="AH20" s="80" t="s">
        <v>11</v>
      </c>
      <c r="AI20" s="21">
        <f t="shared" si="0"/>
        <v>1</v>
      </c>
    </row>
    <row r="21" spans="1:35" ht="15.75" customHeight="1" x14ac:dyDescent="0.25">
      <c r="A21" s="138" t="s">
        <v>25</v>
      </c>
      <c r="B21" s="139"/>
      <c r="C21" s="14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73" t="s">
        <v>11</v>
      </c>
      <c r="AB21" s="73" t="s">
        <v>11</v>
      </c>
      <c r="AC21" s="73" t="s">
        <v>11</v>
      </c>
      <c r="AD21" s="73" t="s">
        <v>11</v>
      </c>
      <c r="AE21" s="73" t="s">
        <v>11</v>
      </c>
      <c r="AF21" s="73" t="s">
        <v>11</v>
      </c>
      <c r="AG21" s="73" t="s">
        <v>11</v>
      </c>
      <c r="AH21" s="73" t="s">
        <v>11</v>
      </c>
      <c r="AI21" s="17">
        <f t="shared" si="0"/>
        <v>1</v>
      </c>
    </row>
    <row r="22" spans="1:35" ht="15.75" customHeight="1" x14ac:dyDescent="0.25">
      <c r="A22" s="144" t="s">
        <v>26</v>
      </c>
      <c r="B22" s="145"/>
      <c r="C22" s="146"/>
      <c r="D22" s="81" t="s">
        <v>12</v>
      </c>
      <c r="E22" s="81" t="s">
        <v>11</v>
      </c>
      <c r="F22" s="81" t="s">
        <v>11</v>
      </c>
      <c r="G22" s="81" t="s">
        <v>11</v>
      </c>
      <c r="H22" s="81" t="s">
        <v>11</v>
      </c>
      <c r="I22" s="81" t="s">
        <v>11</v>
      </c>
      <c r="J22" s="81" t="s">
        <v>11</v>
      </c>
      <c r="K22" s="81" t="s">
        <v>11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12</v>
      </c>
      <c r="R22" s="81" t="s">
        <v>11</v>
      </c>
      <c r="S22" s="81" t="s">
        <v>11</v>
      </c>
      <c r="T22" s="81" t="s">
        <v>11</v>
      </c>
      <c r="U22" s="81" t="s">
        <v>11</v>
      </c>
      <c r="V22" s="81" t="s">
        <v>11</v>
      </c>
      <c r="W22" s="81" t="s">
        <v>12</v>
      </c>
      <c r="X22" s="81" t="s">
        <v>11</v>
      </c>
      <c r="Y22" s="81" t="s">
        <v>11</v>
      </c>
      <c r="Z22" s="81" t="s">
        <v>11</v>
      </c>
      <c r="AA22" s="81" t="s">
        <v>11</v>
      </c>
      <c r="AB22" s="81" t="s">
        <v>11</v>
      </c>
      <c r="AC22" s="81" t="s">
        <v>12</v>
      </c>
      <c r="AD22" s="81" t="s">
        <v>11</v>
      </c>
      <c r="AE22" s="81" t="s">
        <v>11</v>
      </c>
      <c r="AF22" s="81" t="s">
        <v>11</v>
      </c>
      <c r="AG22" s="81" t="s">
        <v>11</v>
      </c>
      <c r="AH22" s="81" t="s">
        <v>11</v>
      </c>
      <c r="AI22" s="19">
        <f t="shared" si="0"/>
        <v>0.87096774193548387</v>
      </c>
    </row>
    <row r="23" spans="1:35" ht="15.75" customHeight="1" x14ac:dyDescent="0.25">
      <c r="A23" s="147" t="s">
        <v>27</v>
      </c>
      <c r="B23" s="148"/>
      <c r="C23" s="149"/>
      <c r="D23" s="20" t="s">
        <v>11</v>
      </c>
      <c r="E23" s="20" t="s">
        <v>11</v>
      </c>
      <c r="F23" s="20" t="s">
        <v>11</v>
      </c>
      <c r="G23" s="20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2" t="s">
        <v>11</v>
      </c>
      <c r="AA23" s="20" t="s">
        <v>11</v>
      </c>
      <c r="AB23" s="20" t="s">
        <v>11</v>
      </c>
      <c r="AC23" s="20" t="s">
        <v>11</v>
      </c>
      <c r="AD23" s="20" t="s">
        <v>11</v>
      </c>
      <c r="AE23" s="22" t="s">
        <v>11</v>
      </c>
      <c r="AF23" s="22" t="s">
        <v>11</v>
      </c>
      <c r="AG23" s="22" t="s">
        <v>11</v>
      </c>
      <c r="AH23" s="22" t="s">
        <v>11</v>
      </c>
      <c r="AI23" s="13">
        <f t="shared" si="0"/>
        <v>1</v>
      </c>
    </row>
    <row r="24" spans="1:35" ht="15.75" customHeight="1" x14ac:dyDescent="0.25">
      <c r="A24" s="138" t="s">
        <v>28</v>
      </c>
      <c r="B24" s="139"/>
      <c r="C24" s="140"/>
      <c r="D24" s="15" t="s">
        <v>11</v>
      </c>
      <c r="E24" s="15" t="s">
        <v>11</v>
      </c>
      <c r="F24" s="15" t="s">
        <v>11</v>
      </c>
      <c r="G24" s="15" t="s">
        <v>11</v>
      </c>
      <c r="H24" s="15" t="s">
        <v>11</v>
      </c>
      <c r="I24" s="15" t="s">
        <v>12</v>
      </c>
      <c r="J24" s="15" t="s">
        <v>12</v>
      </c>
      <c r="K24" s="15" t="s">
        <v>11</v>
      </c>
      <c r="L24" s="15" t="s">
        <v>11</v>
      </c>
      <c r="M24" s="15" t="s">
        <v>11</v>
      </c>
      <c r="N24" s="15" t="s">
        <v>11</v>
      </c>
      <c r="O24" s="15" t="s">
        <v>11</v>
      </c>
      <c r="P24" s="15" t="s">
        <v>11</v>
      </c>
      <c r="Q24" s="15" t="s">
        <v>11</v>
      </c>
      <c r="R24" s="15" t="s">
        <v>11</v>
      </c>
      <c r="S24" s="15" t="s">
        <v>11</v>
      </c>
      <c r="T24" s="15" t="s">
        <v>11</v>
      </c>
      <c r="U24" s="15" t="s">
        <v>11</v>
      </c>
      <c r="V24" s="15" t="s">
        <v>11</v>
      </c>
      <c r="W24" s="15" t="s">
        <v>11</v>
      </c>
      <c r="X24" s="15" t="s">
        <v>11</v>
      </c>
      <c r="Y24" s="15" t="s">
        <v>11</v>
      </c>
      <c r="Z24" s="14" t="s">
        <v>11</v>
      </c>
      <c r="AA24" s="15" t="s">
        <v>11</v>
      </c>
      <c r="AB24" s="15" t="s">
        <v>11</v>
      </c>
      <c r="AC24" s="15" t="s">
        <v>11</v>
      </c>
      <c r="AD24" s="15" t="s">
        <v>11</v>
      </c>
      <c r="AE24" s="14" t="s">
        <v>11</v>
      </c>
      <c r="AF24" s="14" t="s">
        <v>12</v>
      </c>
      <c r="AG24" s="14" t="s">
        <v>12</v>
      </c>
      <c r="AH24" s="14" t="s">
        <v>12</v>
      </c>
      <c r="AI24" s="17">
        <f t="shared" si="0"/>
        <v>0.83870967741935487</v>
      </c>
    </row>
    <row r="25" spans="1:35" ht="15.75" customHeight="1" x14ac:dyDescent="0.25">
      <c r="A25" s="144" t="s">
        <v>29</v>
      </c>
      <c r="B25" s="145"/>
      <c r="C25" s="146"/>
      <c r="D25" s="25" t="s">
        <v>11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5" t="s">
        <v>11</v>
      </c>
      <c r="AC25" s="25" t="s">
        <v>11</v>
      </c>
      <c r="AD25" s="25" t="s">
        <v>11</v>
      </c>
      <c r="AE25" s="81" t="s">
        <v>11</v>
      </c>
      <c r="AF25" s="81" t="s">
        <v>11</v>
      </c>
      <c r="AG25" s="81" t="s">
        <v>11</v>
      </c>
      <c r="AH25" s="81" t="s">
        <v>11</v>
      </c>
      <c r="AI25" s="19">
        <f t="shared" si="0"/>
        <v>1</v>
      </c>
    </row>
    <row r="26" spans="1:35" ht="15.75" customHeight="1" x14ac:dyDescent="0.25">
      <c r="A26" s="144" t="s">
        <v>30</v>
      </c>
      <c r="B26" s="145"/>
      <c r="C26" s="146"/>
      <c r="D26" s="25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41" t="s">
        <v>31</v>
      </c>
      <c r="B27" s="142"/>
      <c r="C27" s="143"/>
      <c r="D27" s="72" t="s">
        <v>9</v>
      </c>
      <c r="E27" s="72" t="s">
        <v>9</v>
      </c>
      <c r="F27" s="72" t="s">
        <v>9</v>
      </c>
      <c r="G27" s="72" t="s">
        <v>9</v>
      </c>
      <c r="H27" s="72" t="s">
        <v>9</v>
      </c>
      <c r="I27" s="72" t="s">
        <v>9</v>
      </c>
      <c r="J27" s="72" t="s">
        <v>9</v>
      </c>
      <c r="K27" s="72" t="s">
        <v>8</v>
      </c>
      <c r="L27" s="72" t="s">
        <v>8</v>
      </c>
      <c r="M27" s="72" t="s">
        <v>9</v>
      </c>
      <c r="N27" s="72" t="s">
        <v>8</v>
      </c>
      <c r="O27" s="72" t="s">
        <v>8</v>
      </c>
      <c r="P27" s="72" t="s">
        <v>8</v>
      </c>
      <c r="Q27" s="72" t="s">
        <v>8</v>
      </c>
      <c r="R27" s="72" t="s">
        <v>9</v>
      </c>
      <c r="S27" s="72" t="s">
        <v>8</v>
      </c>
      <c r="T27" s="72" t="s">
        <v>8</v>
      </c>
      <c r="U27" s="72" t="s">
        <v>9</v>
      </c>
      <c r="V27" s="72" t="s">
        <v>9</v>
      </c>
      <c r="W27" s="72" t="s">
        <v>9</v>
      </c>
      <c r="X27" s="72" t="s">
        <v>9</v>
      </c>
      <c r="Y27" s="72" t="s">
        <v>9</v>
      </c>
      <c r="Z27" s="72" t="s">
        <v>9</v>
      </c>
      <c r="AA27" s="72" t="s">
        <v>8</v>
      </c>
      <c r="AB27" s="72" t="s">
        <v>8</v>
      </c>
      <c r="AC27" s="72" t="s">
        <v>8</v>
      </c>
      <c r="AD27" s="72" t="s">
        <v>8</v>
      </c>
      <c r="AE27" s="72" t="s">
        <v>8</v>
      </c>
      <c r="AF27" s="72" t="s">
        <v>9</v>
      </c>
      <c r="AG27" s="72" t="s">
        <v>9</v>
      </c>
      <c r="AH27" s="72" t="s">
        <v>9</v>
      </c>
      <c r="AI27" s="13">
        <f t="shared" si="0"/>
        <v>1</v>
      </c>
    </row>
    <row r="28" spans="1:35" ht="15.75" customHeight="1" x14ac:dyDescent="0.25">
      <c r="A28" s="156" t="s">
        <v>32</v>
      </c>
      <c r="B28" s="157"/>
      <c r="C28" s="158"/>
      <c r="D28" s="82">
        <v>2</v>
      </c>
      <c r="E28" s="82">
        <v>2</v>
      </c>
      <c r="F28" s="82">
        <v>2</v>
      </c>
      <c r="G28" s="82">
        <v>2</v>
      </c>
      <c r="H28" s="82">
        <v>2</v>
      </c>
      <c r="I28" s="82">
        <v>3</v>
      </c>
      <c r="J28" s="82">
        <v>1.8</v>
      </c>
      <c r="K28" s="82">
        <v>2</v>
      </c>
      <c r="L28" s="82">
        <v>2</v>
      </c>
      <c r="M28" s="82" t="s">
        <v>116</v>
      </c>
      <c r="N28" s="82" t="s">
        <v>118</v>
      </c>
      <c r="O28" s="82">
        <v>3</v>
      </c>
      <c r="P28" s="28">
        <v>3</v>
      </c>
      <c r="Q28" s="28">
        <v>3</v>
      </c>
      <c r="R28" s="28">
        <v>3</v>
      </c>
      <c r="S28" s="28">
        <v>2</v>
      </c>
      <c r="T28" s="28" t="s">
        <v>118</v>
      </c>
      <c r="U28" s="28" t="s">
        <v>118</v>
      </c>
      <c r="V28" s="28" t="s">
        <v>118</v>
      </c>
      <c r="W28" s="28">
        <v>2</v>
      </c>
      <c r="X28" s="28">
        <v>2</v>
      </c>
      <c r="Y28" s="28">
        <v>2</v>
      </c>
      <c r="Z28" s="28">
        <v>2</v>
      </c>
      <c r="AA28" s="28">
        <v>2</v>
      </c>
      <c r="AB28" s="28">
        <v>2</v>
      </c>
      <c r="AC28" s="28" t="s">
        <v>116</v>
      </c>
      <c r="AD28" s="28" t="s">
        <v>116</v>
      </c>
      <c r="AE28" s="28" t="s">
        <v>118</v>
      </c>
      <c r="AF28" s="28" t="s">
        <v>124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53" t="s">
        <v>99</v>
      </c>
      <c r="B29" s="154"/>
      <c r="C29" s="155"/>
      <c r="D29" s="29">
        <v>0</v>
      </c>
      <c r="E29" s="83">
        <v>0</v>
      </c>
      <c r="F29" s="83">
        <v>0</v>
      </c>
      <c r="G29" s="83">
        <v>0</v>
      </c>
      <c r="H29" s="83">
        <v>0</v>
      </c>
      <c r="I29" s="83" t="s">
        <v>115</v>
      </c>
      <c r="J29" s="83" t="s">
        <v>114</v>
      </c>
      <c r="K29" s="83" t="s">
        <v>113</v>
      </c>
      <c r="L29" s="83" t="s">
        <v>117</v>
      </c>
      <c r="M29" s="83">
        <v>0</v>
      </c>
      <c r="N29" s="83">
        <v>0.4</v>
      </c>
      <c r="O29" s="83">
        <v>0.4</v>
      </c>
      <c r="P29" s="83">
        <v>0.2</v>
      </c>
      <c r="Q29" s="83" t="s">
        <v>119</v>
      </c>
      <c r="R29" s="83">
        <v>0</v>
      </c>
      <c r="S29" s="83" t="s">
        <v>120</v>
      </c>
      <c r="T29" s="83" t="s">
        <v>121</v>
      </c>
      <c r="U29" s="83">
        <v>2.4</v>
      </c>
      <c r="V29" s="83">
        <v>0</v>
      </c>
      <c r="W29" s="83">
        <v>0.15</v>
      </c>
      <c r="X29" s="83">
        <v>0</v>
      </c>
      <c r="Y29" s="83" t="s">
        <v>122</v>
      </c>
      <c r="Z29" s="83" t="s">
        <v>123</v>
      </c>
      <c r="AA29" s="83">
        <v>0</v>
      </c>
      <c r="AB29" s="83">
        <v>0</v>
      </c>
      <c r="AC29" s="29">
        <v>0</v>
      </c>
      <c r="AD29" s="29">
        <v>0</v>
      </c>
      <c r="AE29" s="29" t="s">
        <v>125</v>
      </c>
      <c r="AF29" s="29" t="s">
        <v>126</v>
      </c>
      <c r="AG29" s="29" t="s">
        <v>127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0.54838709677419351</v>
      </c>
    </row>
    <row r="30" spans="1:35" ht="15.75" customHeight="1" x14ac:dyDescent="0.25">
      <c r="A30" s="165" t="s">
        <v>33</v>
      </c>
      <c r="B30" s="166"/>
      <c r="C30" s="167"/>
      <c r="D30" s="84" t="s">
        <v>9</v>
      </c>
      <c r="E30" s="84" t="s">
        <v>9</v>
      </c>
      <c r="F30" s="84" t="s">
        <v>9</v>
      </c>
      <c r="G30" s="84" t="s">
        <v>9</v>
      </c>
      <c r="H30" s="84" t="s">
        <v>9</v>
      </c>
      <c r="I30" s="84" t="s">
        <v>9</v>
      </c>
      <c r="J30" s="84" t="s">
        <v>9</v>
      </c>
      <c r="K30" s="84" t="s">
        <v>8</v>
      </c>
      <c r="L30" s="84" t="s">
        <v>8</v>
      </c>
      <c r="M30" s="84" t="s">
        <v>9</v>
      </c>
      <c r="N30" s="84" t="s">
        <v>8</v>
      </c>
      <c r="O30" s="84" t="s">
        <v>8</v>
      </c>
      <c r="P30" s="84" t="s">
        <v>8</v>
      </c>
      <c r="Q30" s="84" t="s">
        <v>8</v>
      </c>
      <c r="R30" s="84" t="s">
        <v>9</v>
      </c>
      <c r="S30" s="84" t="s">
        <v>8</v>
      </c>
      <c r="T30" s="84" t="s">
        <v>8</v>
      </c>
      <c r="U30" s="84" t="s">
        <v>8</v>
      </c>
      <c r="V30" s="84" t="s">
        <v>9</v>
      </c>
      <c r="W30" s="84" t="s">
        <v>9</v>
      </c>
      <c r="X30" s="84" t="s">
        <v>9</v>
      </c>
      <c r="Y30" s="84" t="s">
        <v>9</v>
      </c>
      <c r="Z30" s="84" t="s">
        <v>9</v>
      </c>
      <c r="AA30" s="84" t="s">
        <v>8</v>
      </c>
      <c r="AB30" s="84" t="s">
        <v>8</v>
      </c>
      <c r="AC30" s="84" t="s">
        <v>8</v>
      </c>
      <c r="AD30" s="84" t="s">
        <v>8</v>
      </c>
      <c r="AE30" s="84" t="s">
        <v>8</v>
      </c>
      <c r="AF30" s="84" t="s">
        <v>9</v>
      </c>
      <c r="AG30" s="84" t="s">
        <v>9</v>
      </c>
      <c r="AH30" s="84" t="s">
        <v>9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41" t="s">
        <v>34</v>
      </c>
      <c r="B31" s="142"/>
      <c r="C31" s="143"/>
      <c r="D31" s="72" t="s">
        <v>9</v>
      </c>
      <c r="E31" s="72" t="s">
        <v>9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8</v>
      </c>
      <c r="L31" s="72" t="s">
        <v>8</v>
      </c>
      <c r="M31" s="72" t="s">
        <v>9</v>
      </c>
      <c r="N31" s="72" t="s">
        <v>8</v>
      </c>
      <c r="O31" s="72" t="s">
        <v>8</v>
      </c>
      <c r="P31" s="72" t="s">
        <v>8</v>
      </c>
      <c r="Q31" s="72" t="s">
        <v>8</v>
      </c>
      <c r="R31" s="72" t="s">
        <v>9</v>
      </c>
      <c r="S31" s="72" t="s">
        <v>8</v>
      </c>
      <c r="T31" s="72" t="s">
        <v>8</v>
      </c>
      <c r="U31" s="72" t="s">
        <v>8</v>
      </c>
      <c r="V31" s="72" t="s">
        <v>9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8</v>
      </c>
      <c r="AB31" s="72" t="s">
        <v>8</v>
      </c>
      <c r="AC31" s="72" t="s">
        <v>8</v>
      </c>
      <c r="AD31" s="72" t="s">
        <v>8</v>
      </c>
      <c r="AE31" s="72" t="s">
        <v>8</v>
      </c>
      <c r="AF31" s="72" t="s">
        <v>9</v>
      </c>
      <c r="AG31" s="72" t="s">
        <v>9</v>
      </c>
      <c r="AH31" s="72" t="s">
        <v>9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8" t="s">
        <v>35</v>
      </c>
      <c r="B32" s="169"/>
      <c r="C32" s="170"/>
      <c r="D32" s="85" t="s">
        <v>9</v>
      </c>
      <c r="E32" s="85" t="s">
        <v>9</v>
      </c>
      <c r="F32" s="85" t="s">
        <v>9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8</v>
      </c>
      <c r="L32" s="85" t="s">
        <v>8</v>
      </c>
      <c r="M32" s="85" t="s">
        <v>9</v>
      </c>
      <c r="N32" s="85" t="s">
        <v>8</v>
      </c>
      <c r="O32" s="85" t="s">
        <v>8</v>
      </c>
      <c r="P32" s="85" t="s">
        <v>8</v>
      </c>
      <c r="Q32" s="85" t="s">
        <v>8</v>
      </c>
      <c r="R32" s="85" t="s">
        <v>9</v>
      </c>
      <c r="S32" s="85" t="s">
        <v>8</v>
      </c>
      <c r="T32" s="85" t="s">
        <v>8</v>
      </c>
      <c r="U32" s="85" t="s">
        <v>8</v>
      </c>
      <c r="V32" s="85" t="s">
        <v>9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8</v>
      </c>
      <c r="AB32" s="85" t="s">
        <v>8</v>
      </c>
      <c r="AC32" s="85" t="s">
        <v>8</v>
      </c>
      <c r="AD32" s="85" t="s">
        <v>8</v>
      </c>
      <c r="AE32" s="85" t="s">
        <v>8</v>
      </c>
      <c r="AF32" s="85" t="s">
        <v>9</v>
      </c>
      <c r="AG32" s="85" t="s">
        <v>9</v>
      </c>
      <c r="AH32" s="85" t="s">
        <v>9</v>
      </c>
      <c r="AI32" s="17">
        <f t="shared" si="0"/>
        <v>1</v>
      </c>
    </row>
    <row r="33" spans="1:44" ht="15.75" customHeight="1" x14ac:dyDescent="0.25">
      <c r="A33" s="144" t="s">
        <v>36</v>
      </c>
      <c r="B33" s="145"/>
      <c r="C33" s="146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81" t="s">
        <v>11</v>
      </c>
      <c r="AG33" s="81" t="s">
        <v>11</v>
      </c>
      <c r="AH33" s="81" t="s">
        <v>11</v>
      </c>
      <c r="AI33" s="19">
        <f t="shared" si="0"/>
        <v>1</v>
      </c>
    </row>
    <row r="34" spans="1:44" ht="15.75" customHeight="1" x14ac:dyDescent="0.25">
      <c r="A34" s="144" t="s">
        <v>95</v>
      </c>
      <c r="B34" s="145"/>
      <c r="C34" s="146"/>
      <c r="D34" s="25" t="s">
        <v>11</v>
      </c>
      <c r="E34" s="81" t="s">
        <v>11</v>
      </c>
      <c r="F34" s="81" t="s">
        <v>11</v>
      </c>
      <c r="G34" s="81" t="s">
        <v>22</v>
      </c>
      <c r="H34" s="81" t="s">
        <v>11</v>
      </c>
      <c r="I34" s="81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81" t="s">
        <v>11</v>
      </c>
      <c r="R34" s="81" t="s">
        <v>11</v>
      </c>
      <c r="S34" s="81" t="s">
        <v>11</v>
      </c>
      <c r="T34" s="81" t="s">
        <v>11</v>
      </c>
      <c r="U34" s="81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81" t="s">
        <v>11</v>
      </c>
      <c r="AB34" s="81" t="s">
        <v>11</v>
      </c>
      <c r="AC34" s="81" t="s">
        <v>11</v>
      </c>
      <c r="AD34" s="81" t="s">
        <v>11</v>
      </c>
      <c r="AE34" s="81" t="s">
        <v>11</v>
      </c>
      <c r="AF34" s="81" t="s">
        <v>11</v>
      </c>
      <c r="AG34" s="81" t="s">
        <v>11</v>
      </c>
      <c r="AH34" s="81" t="s">
        <v>11</v>
      </c>
      <c r="AI34" s="19">
        <f t="shared" si="0"/>
        <v>1</v>
      </c>
    </row>
    <row r="35" spans="1:44" ht="15.75" customHeight="1" thickBot="1" x14ac:dyDescent="0.3">
      <c r="A35" s="171" t="s">
        <v>96</v>
      </c>
      <c r="B35" s="172"/>
      <c r="C35" s="173"/>
      <c r="D35" s="97" t="s">
        <v>11</v>
      </c>
      <c r="E35" s="95" t="s">
        <v>11</v>
      </c>
      <c r="F35" s="95" t="s">
        <v>11</v>
      </c>
      <c r="G35" s="95" t="s">
        <v>22</v>
      </c>
      <c r="H35" s="95" t="s">
        <v>11</v>
      </c>
      <c r="I35" s="95" t="s">
        <v>11</v>
      </c>
      <c r="J35" s="95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95" t="s">
        <v>11</v>
      </c>
      <c r="R35" s="95" t="s">
        <v>11</v>
      </c>
      <c r="S35" s="95" t="s">
        <v>11</v>
      </c>
      <c r="T35" s="95" t="s">
        <v>11</v>
      </c>
      <c r="U35" s="95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5" t="s">
        <v>11</v>
      </c>
      <c r="AB35" s="95" t="s">
        <v>11</v>
      </c>
      <c r="AC35" s="95" t="s">
        <v>11</v>
      </c>
      <c r="AD35" s="95" t="s">
        <v>11</v>
      </c>
      <c r="AE35" s="95" t="s">
        <v>11</v>
      </c>
      <c r="AF35" s="95" t="s">
        <v>11</v>
      </c>
      <c r="AG35" s="95" t="s">
        <v>11</v>
      </c>
      <c r="AH35" s="95" t="s">
        <v>11</v>
      </c>
      <c r="AI35" s="98">
        <f t="shared" si="0"/>
        <v>1</v>
      </c>
    </row>
    <row r="36" spans="1:44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31"/>
      <c r="AA36" s="93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>AB</v>
      </c>
      <c r="AE38" s="37" t="str">
        <f>IF(AND(AE5&gt;0,COUNTA(AE6:AE37)&gt;0,COUNTA(AE6:AE37)-COUNTIF(AE6:AE37,"NB")-COUNTIF(AE30:AE31, "0")=COUNTA(AE6:AE37)),"AB","")</f>
        <v>AB</v>
      </c>
      <c r="AF38" s="37" t="str">
        <f>IF(AND(AF5&gt;0,COUNTA(AF6:AF37)&gt;0,COUNTA(AF6:AF37)-COUNTIF(AF6:AF37,"NB")-COUNTIF(AF30:AF31, "0")=COUNTA(AF6:AF37)),"AB","")</f>
        <v/>
      </c>
      <c r="AG38" s="37" t="str">
        <f>IF(AND(AG5&gt;0,COUNTA(AG6:AG37)&gt;0,COUNTA(AG6:AG37)-COUNTIF(AG6:AG37,"NB")-COUNTIF(AG30:AG31, "0")=COUNTA(AG6:AG37)),"AB","")</f>
        <v/>
      </c>
      <c r="AH38" s="37" t="str">
        <f>IF(AND(AH5&gt;0,COUNTA(AH6:AH37)&gt;0,COUNTA(AH6:AH37)-COUNTIF(AH6:AH37,"NB")-COUNTIF(AH30:AH31, "0")=COUNTA(AH6:AH37)),"AB","")</f>
        <v/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F40" s="104"/>
      <c r="I40" s="104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</v>
      </c>
      <c r="AH51" s="59"/>
      <c r="AI51"/>
    </row>
    <row r="52" spans="1:35" ht="15.75" customHeight="1" x14ac:dyDescent="0.25">
      <c r="A52" s="54" t="s">
        <v>100</v>
      </c>
      <c r="B52" t="s">
        <v>101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29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V18:V21 V28:V35 I23:I26 E6:H8 E18:H35 J23:J24 D23:D24 P23:P24 L22:O24 Z23:Z24 Z28:Z29 AC22:AE22 AE23:AE26 AC27:AE29">
    <cfRule type="cellIs" dxfId="1520" priority="241" stopIfTrue="1" operator="equal">
      <formula>"M"</formula>
    </cfRule>
    <cfRule type="cellIs" dxfId="1519" priority="242" stopIfTrue="1" operator="equal">
      <formula>"NB"</formula>
    </cfRule>
    <cfRule type="cellIs" dxfId="1518" priority="243" stopIfTrue="1" operator="equal">
      <formula>"B"</formula>
    </cfRule>
  </conditionalFormatting>
  <conditionalFormatting sqref="V28:V29 E28:H29 Z28:Z29 AC28:AE29">
    <cfRule type="cellIs" dxfId="1517" priority="240" operator="equal">
      <formula>0</formula>
    </cfRule>
  </conditionalFormatting>
  <conditionalFormatting sqref="E15:H17">
    <cfRule type="cellIs" priority="236" stopIfTrue="1" operator="equal">
      <formula>"B"</formula>
    </cfRule>
    <cfRule type="cellIs" dxfId="1516" priority="237" stopIfTrue="1" operator="equal">
      <formula>"M"</formula>
    </cfRule>
    <cfRule type="cellIs" dxfId="1515" priority="238" stopIfTrue="1" operator="equal">
      <formula>"NB"</formula>
    </cfRule>
    <cfRule type="cellIs" dxfId="1514" priority="239" stopIfTrue="1" operator="equal">
      <formula>0</formula>
    </cfRule>
  </conditionalFormatting>
  <conditionalFormatting sqref="I18:I22 I6:I8 I27:I35 L28:O29">
    <cfRule type="cellIs" dxfId="1513" priority="233" stopIfTrue="1" operator="equal">
      <formula>"M"</formula>
    </cfRule>
    <cfRule type="cellIs" dxfId="1512" priority="234" stopIfTrue="1" operator="equal">
      <formula>"NB"</formula>
    </cfRule>
    <cfRule type="cellIs" dxfId="1511" priority="235" stopIfTrue="1" operator="equal">
      <formula>"B"</formula>
    </cfRule>
  </conditionalFormatting>
  <conditionalFormatting sqref="I28:I29 L28:O29">
    <cfRule type="cellIs" dxfId="1510" priority="232" operator="equal">
      <formula>0</formula>
    </cfRule>
  </conditionalFormatting>
  <conditionalFormatting sqref="I15:I17">
    <cfRule type="cellIs" priority="228" stopIfTrue="1" operator="equal">
      <formula>"B"</formula>
    </cfRule>
    <cfRule type="cellIs" dxfId="1509" priority="229" stopIfTrue="1" operator="equal">
      <formula>"M"</formula>
    </cfRule>
    <cfRule type="cellIs" dxfId="1508" priority="230" stopIfTrue="1" operator="equal">
      <formula>"NB"</formula>
    </cfRule>
    <cfRule type="cellIs" dxfId="1507" priority="231" stopIfTrue="1" operator="equal">
      <formula>0</formula>
    </cfRule>
  </conditionalFormatting>
  <conditionalFormatting sqref="P6:P8 P18:P22 P27:P35">
    <cfRule type="cellIs" dxfId="1506" priority="225" stopIfTrue="1" operator="equal">
      <formula>"M"</formula>
    </cfRule>
    <cfRule type="cellIs" dxfId="1505" priority="226" stopIfTrue="1" operator="equal">
      <formula>"NB"</formula>
    </cfRule>
    <cfRule type="cellIs" dxfId="1504" priority="227" stopIfTrue="1" operator="equal">
      <formula>"B"</formula>
    </cfRule>
  </conditionalFormatting>
  <conditionalFormatting sqref="P28:P29">
    <cfRule type="cellIs" dxfId="1503" priority="224" operator="equal">
      <formula>0</formula>
    </cfRule>
  </conditionalFormatting>
  <conditionalFormatting sqref="P15:P17">
    <cfRule type="cellIs" priority="220" stopIfTrue="1" operator="equal">
      <formula>"B"</formula>
    </cfRule>
    <cfRule type="cellIs" dxfId="1502" priority="221" stopIfTrue="1" operator="equal">
      <formula>"M"</formula>
    </cfRule>
    <cfRule type="cellIs" dxfId="1501" priority="222" stopIfTrue="1" operator="equal">
      <formula>"NB"</formula>
    </cfRule>
    <cfRule type="cellIs" dxfId="1500" priority="223" stopIfTrue="1" operator="equal">
      <formula>0</formula>
    </cfRule>
  </conditionalFormatting>
  <conditionalFormatting sqref="V6:V8 V27">
    <cfRule type="cellIs" dxfId="1499" priority="217" stopIfTrue="1" operator="equal">
      <formula>"M"</formula>
    </cfRule>
    <cfRule type="cellIs" dxfId="1498" priority="218" stopIfTrue="1" operator="equal">
      <formula>"NB"</formula>
    </cfRule>
    <cfRule type="cellIs" dxfId="1497" priority="219" stopIfTrue="1" operator="equal">
      <formula>"B"</formula>
    </cfRule>
  </conditionalFormatting>
  <conditionalFormatting sqref="V15:V17">
    <cfRule type="cellIs" priority="212" stopIfTrue="1" operator="equal">
      <formula>"B"</formula>
    </cfRule>
    <cfRule type="cellIs" dxfId="1496" priority="213" stopIfTrue="1" operator="equal">
      <formula>"M"</formula>
    </cfRule>
    <cfRule type="cellIs" dxfId="1495" priority="214" stopIfTrue="1" operator="equal">
      <formula>"NB"</formula>
    </cfRule>
    <cfRule type="cellIs" dxfId="1494" priority="215" stopIfTrue="1" operator="equal">
      <formula>0</formula>
    </cfRule>
  </conditionalFormatting>
  <conditionalFormatting sqref="D22 D25:D26">
    <cfRule type="cellIs" dxfId="1493" priority="195" stopIfTrue="1" operator="equal">
      <formula>"B"</formula>
    </cfRule>
    <cfRule type="cellIs" dxfId="1492" priority="196" stopIfTrue="1" operator="equal">
      <formula>"M"</formula>
    </cfRule>
    <cfRule type="cellIs" dxfId="1491" priority="197" stopIfTrue="1" operator="between">
      <formula>"NB"</formula>
      <formula>"NB^"</formula>
    </cfRule>
  </conditionalFormatting>
  <conditionalFormatting sqref="D34">
    <cfRule type="cellIs" dxfId="1490" priority="192" stopIfTrue="1" operator="equal">
      <formula>"B"</formula>
    </cfRule>
    <cfRule type="cellIs" dxfId="1489" priority="193" stopIfTrue="1" operator="equal">
      <formula>"M"</formula>
    </cfRule>
    <cfRule type="cellIs" dxfId="1488" priority="194" stopIfTrue="1" operator="between">
      <formula>"NB"</formula>
      <formula>"NB^"</formula>
    </cfRule>
  </conditionalFormatting>
  <conditionalFormatting sqref="D35">
    <cfRule type="cellIs" dxfId="1487" priority="189" stopIfTrue="1" operator="equal">
      <formula>"B"</formula>
    </cfRule>
    <cfRule type="cellIs" dxfId="1486" priority="190" stopIfTrue="1" operator="equal">
      <formula>"M"</formula>
    </cfRule>
    <cfRule type="cellIs" dxfId="1485" priority="191" stopIfTrue="1" operator="between">
      <formula>"NB"</formula>
      <formula>"NB^"</formula>
    </cfRule>
  </conditionalFormatting>
  <conditionalFormatting sqref="D8">
    <cfRule type="cellIs" dxfId="1484" priority="186" stopIfTrue="1" operator="equal">
      <formula>"B"</formula>
    </cfRule>
    <cfRule type="cellIs" dxfId="1483" priority="187" stopIfTrue="1" operator="equal">
      <formula>"M"</formula>
    </cfRule>
    <cfRule type="cellIs" dxfId="1482" priority="188" stopIfTrue="1" operator="between">
      <formula>"NB"</formula>
      <formula>"NB^"</formula>
    </cfRule>
  </conditionalFormatting>
  <conditionalFormatting sqref="D9:D14 D30:D33">
    <cfRule type="cellIs" dxfId="1481" priority="208" stopIfTrue="1" operator="equal">
      <formula>"B"</formula>
    </cfRule>
    <cfRule type="cellIs" dxfId="1480" priority="209" stopIfTrue="1" operator="equal">
      <formula>"M"</formula>
    </cfRule>
    <cfRule type="cellIs" dxfId="1479" priority="210" stopIfTrue="1" operator="between">
      <formula>"NB"</formula>
      <formula>"NB^"</formula>
    </cfRule>
  </conditionalFormatting>
  <conditionalFormatting sqref="D28">
    <cfRule type="cellIs" dxfId="1478" priority="211" stopIfTrue="1" operator="equal">
      <formula>0</formula>
    </cfRule>
  </conditionalFormatting>
  <conditionalFormatting sqref="D29">
    <cfRule type="cellIs" dxfId="1477" priority="207" stopIfTrue="1" operator="equal">
      <formula>0</formula>
    </cfRule>
  </conditionalFormatting>
  <conditionalFormatting sqref="D15:D17">
    <cfRule type="cellIs" dxfId="1476" priority="204" stopIfTrue="1" operator="equal">
      <formula>"B"</formula>
    </cfRule>
    <cfRule type="cellIs" dxfId="1475" priority="205" stopIfTrue="1" operator="equal">
      <formula>"M"</formula>
    </cfRule>
    <cfRule type="cellIs" dxfId="1474" priority="206" stopIfTrue="1" operator="between">
      <formula>"NB"</formula>
      <formula>"NB^"</formula>
    </cfRule>
  </conditionalFormatting>
  <conditionalFormatting sqref="D18:D21 D27">
    <cfRule type="cellIs" dxfId="1473" priority="201" stopIfTrue="1" operator="equal">
      <formula>"B"</formula>
    </cfRule>
    <cfRule type="cellIs" dxfId="1472" priority="202" stopIfTrue="1" operator="equal">
      <formula>"M"</formula>
    </cfRule>
    <cfRule type="cellIs" dxfId="1471" priority="203" stopIfTrue="1" operator="between">
      <formula>"NB"</formula>
      <formula>"NB^"</formula>
    </cfRule>
  </conditionalFormatting>
  <conditionalFormatting sqref="D6:D7">
    <cfRule type="cellIs" dxfId="1470" priority="198" stopIfTrue="1" operator="equal">
      <formula>"B"</formula>
    </cfRule>
    <cfRule type="cellIs" dxfId="1469" priority="199" stopIfTrue="1" operator="equal">
      <formula>"M"</formula>
    </cfRule>
    <cfRule type="cellIs" dxfId="1468" priority="200" stopIfTrue="1" operator="between">
      <formula>"NB"</formula>
      <formula>"NB^"</formula>
    </cfRule>
  </conditionalFormatting>
  <conditionalFormatting sqref="E9:I14">
    <cfRule type="cellIs" dxfId="1467" priority="183" stopIfTrue="1" operator="equal">
      <formula>"B"</formula>
    </cfRule>
    <cfRule type="cellIs" dxfId="1466" priority="184" stopIfTrue="1" operator="equal">
      <formula>"M"</formula>
    </cfRule>
    <cfRule type="cellIs" dxfId="1465" priority="185" stopIfTrue="1" operator="between">
      <formula>"NB"</formula>
      <formula>"NB^"</formula>
    </cfRule>
  </conditionalFormatting>
  <conditionalFormatting sqref="J25:J26">
    <cfRule type="cellIs" dxfId="1464" priority="180" stopIfTrue="1" operator="equal">
      <formula>"M"</formula>
    </cfRule>
    <cfRule type="cellIs" dxfId="1463" priority="181" stopIfTrue="1" operator="equal">
      <formula>"NB"</formula>
    </cfRule>
    <cfRule type="cellIs" dxfId="1462" priority="182" stopIfTrue="1" operator="equal">
      <formula>"B"</formula>
    </cfRule>
  </conditionalFormatting>
  <conditionalFormatting sqref="J18:J22 J6:J8 J27:J35">
    <cfRule type="cellIs" dxfId="1461" priority="177" stopIfTrue="1" operator="equal">
      <formula>"M"</formula>
    </cfRule>
    <cfRule type="cellIs" dxfId="1460" priority="178" stopIfTrue="1" operator="equal">
      <formula>"NB"</formula>
    </cfRule>
    <cfRule type="cellIs" dxfId="1459" priority="179" stopIfTrue="1" operator="equal">
      <formula>"B"</formula>
    </cfRule>
  </conditionalFormatting>
  <conditionalFormatting sqref="J28:J29">
    <cfRule type="cellIs" dxfId="1458" priority="176" operator="equal">
      <formula>0</formula>
    </cfRule>
  </conditionalFormatting>
  <conditionalFormatting sqref="J15:J17">
    <cfRule type="cellIs" priority="172" stopIfTrue="1" operator="equal">
      <formula>"B"</formula>
    </cfRule>
    <cfRule type="cellIs" dxfId="1457" priority="173" stopIfTrue="1" operator="equal">
      <formula>"M"</formula>
    </cfRule>
    <cfRule type="cellIs" dxfId="1456" priority="174" stopIfTrue="1" operator="equal">
      <formula>"NB"</formula>
    </cfRule>
    <cfRule type="cellIs" dxfId="1455" priority="175" stopIfTrue="1" operator="equal">
      <formula>0</formula>
    </cfRule>
  </conditionalFormatting>
  <conditionalFormatting sqref="J9:J14">
    <cfRule type="cellIs" dxfId="1454" priority="169" stopIfTrue="1" operator="equal">
      <formula>"B"</formula>
    </cfRule>
    <cfRule type="cellIs" dxfId="1453" priority="170" stopIfTrue="1" operator="equal">
      <formula>"M"</formula>
    </cfRule>
    <cfRule type="cellIs" dxfId="1452" priority="171" stopIfTrue="1" operator="between">
      <formula>"NB"</formula>
      <formula>"NB^"</formula>
    </cfRule>
  </conditionalFormatting>
  <conditionalFormatting sqref="K23:K24">
    <cfRule type="cellIs" dxfId="1451" priority="166" stopIfTrue="1" operator="equal">
      <formula>"M"</formula>
    </cfRule>
    <cfRule type="cellIs" dxfId="1450" priority="167" stopIfTrue="1" operator="equal">
      <formula>"NB"</formula>
    </cfRule>
    <cfRule type="cellIs" dxfId="1449" priority="168" stopIfTrue="1" operator="equal">
      <formula>"B"</formula>
    </cfRule>
  </conditionalFormatting>
  <conditionalFormatting sqref="K25:P26">
    <cfRule type="cellIs" dxfId="1448" priority="163" stopIfTrue="1" operator="equal">
      <formula>"M"</formula>
    </cfRule>
    <cfRule type="cellIs" dxfId="1447" priority="164" stopIfTrue="1" operator="equal">
      <formula>"NB"</formula>
    </cfRule>
    <cfRule type="cellIs" dxfId="1446" priority="165" stopIfTrue="1" operator="equal">
      <formula>"B"</formula>
    </cfRule>
  </conditionalFormatting>
  <conditionalFormatting sqref="K18:K22 K27:K35 L18:O21 K6:O8 L27:O27 L30:O35">
    <cfRule type="cellIs" dxfId="1445" priority="160" stopIfTrue="1" operator="equal">
      <formula>"M"</formula>
    </cfRule>
    <cfRule type="cellIs" dxfId="1444" priority="161" stopIfTrue="1" operator="equal">
      <formula>"NB"</formula>
    </cfRule>
    <cfRule type="cellIs" dxfId="1443" priority="162" stopIfTrue="1" operator="equal">
      <formula>"B"</formula>
    </cfRule>
  </conditionalFormatting>
  <conditionalFormatting sqref="K28:K29">
    <cfRule type="cellIs" dxfId="1442" priority="159" operator="equal">
      <formula>0</formula>
    </cfRule>
  </conditionalFormatting>
  <conditionalFormatting sqref="K15:O17">
    <cfRule type="cellIs" priority="155" stopIfTrue="1" operator="equal">
      <formula>"B"</formula>
    </cfRule>
    <cfRule type="cellIs" dxfId="1441" priority="156" stopIfTrue="1" operator="equal">
      <formula>"M"</formula>
    </cfRule>
    <cfRule type="cellIs" dxfId="1440" priority="157" stopIfTrue="1" operator="equal">
      <formula>"NB"</formula>
    </cfRule>
    <cfRule type="cellIs" dxfId="1439" priority="158" stopIfTrue="1" operator="equal">
      <formula>0</formula>
    </cfRule>
  </conditionalFormatting>
  <conditionalFormatting sqref="K9:P14">
    <cfRule type="cellIs" dxfId="1438" priority="152" stopIfTrue="1" operator="equal">
      <formula>"B"</formula>
    </cfRule>
    <cfRule type="cellIs" dxfId="1437" priority="153" stopIfTrue="1" operator="equal">
      <formula>"M"</formula>
    </cfRule>
    <cfRule type="cellIs" dxfId="1436" priority="154" stopIfTrue="1" operator="between">
      <formula>"NB"</formula>
      <formula>"NB^"</formula>
    </cfRule>
  </conditionalFormatting>
  <conditionalFormatting sqref="Q23:Q24">
    <cfRule type="cellIs" dxfId="1435" priority="149" stopIfTrue="1" operator="equal">
      <formula>"M"</formula>
    </cfRule>
    <cfRule type="cellIs" dxfId="1434" priority="150" stopIfTrue="1" operator="equal">
      <formula>"NB"</formula>
    </cfRule>
    <cfRule type="cellIs" dxfId="1433" priority="151" stopIfTrue="1" operator="equal">
      <formula>"B"</formula>
    </cfRule>
  </conditionalFormatting>
  <conditionalFormatting sqref="Q6:Q8 Q18:Q22 Q27:Q35">
    <cfRule type="cellIs" dxfId="1432" priority="146" stopIfTrue="1" operator="equal">
      <formula>"M"</formula>
    </cfRule>
    <cfRule type="cellIs" dxfId="1431" priority="147" stopIfTrue="1" operator="equal">
      <formula>"NB"</formula>
    </cfRule>
    <cfRule type="cellIs" dxfId="1430" priority="148" stopIfTrue="1" operator="equal">
      <formula>"B"</formula>
    </cfRule>
  </conditionalFormatting>
  <conditionalFormatting sqref="Q28:Q29">
    <cfRule type="cellIs" dxfId="1429" priority="145" operator="equal">
      <formula>0</formula>
    </cfRule>
  </conditionalFormatting>
  <conditionalFormatting sqref="Q15:Q17">
    <cfRule type="cellIs" priority="141" stopIfTrue="1" operator="equal">
      <formula>"B"</formula>
    </cfRule>
    <cfRule type="cellIs" dxfId="1428" priority="142" stopIfTrue="1" operator="equal">
      <formula>"M"</formula>
    </cfRule>
    <cfRule type="cellIs" dxfId="1427" priority="143" stopIfTrue="1" operator="equal">
      <formula>"NB"</formula>
    </cfRule>
    <cfRule type="cellIs" dxfId="1426" priority="144" stopIfTrue="1" operator="equal">
      <formula>0</formula>
    </cfRule>
  </conditionalFormatting>
  <conditionalFormatting sqref="Q25:Q26">
    <cfRule type="cellIs" dxfId="1425" priority="138" stopIfTrue="1" operator="equal">
      <formula>"M"</formula>
    </cfRule>
    <cfRule type="cellIs" dxfId="1424" priority="139" stopIfTrue="1" operator="equal">
      <formula>"NB"</formula>
    </cfRule>
    <cfRule type="cellIs" dxfId="1423" priority="140" stopIfTrue="1" operator="equal">
      <formula>"B"</formula>
    </cfRule>
  </conditionalFormatting>
  <conditionalFormatting sqref="Q9:Q14">
    <cfRule type="cellIs" dxfId="1422" priority="135" stopIfTrue="1" operator="equal">
      <formula>"B"</formula>
    </cfRule>
    <cfRule type="cellIs" dxfId="1421" priority="136" stopIfTrue="1" operator="equal">
      <formula>"M"</formula>
    </cfRule>
    <cfRule type="cellIs" dxfId="1420" priority="137" stopIfTrue="1" operator="between">
      <formula>"NB"</formula>
      <formula>"NB^"</formula>
    </cfRule>
  </conditionalFormatting>
  <conditionalFormatting sqref="R23:R24">
    <cfRule type="cellIs" dxfId="1419" priority="132" stopIfTrue="1" operator="equal">
      <formula>"M"</formula>
    </cfRule>
    <cfRule type="cellIs" dxfId="1418" priority="133" stopIfTrue="1" operator="equal">
      <formula>"NB"</formula>
    </cfRule>
    <cfRule type="cellIs" dxfId="1417" priority="134" stopIfTrue="1" operator="equal">
      <formula>"B"</formula>
    </cfRule>
  </conditionalFormatting>
  <conditionalFormatting sqref="R6:R8 R18:R22 R27:R35">
    <cfRule type="cellIs" dxfId="1416" priority="129" stopIfTrue="1" operator="equal">
      <formula>"M"</formula>
    </cfRule>
    <cfRule type="cellIs" dxfId="1415" priority="130" stopIfTrue="1" operator="equal">
      <formula>"NB"</formula>
    </cfRule>
    <cfRule type="cellIs" dxfId="1414" priority="131" stopIfTrue="1" operator="equal">
      <formula>"B"</formula>
    </cfRule>
  </conditionalFormatting>
  <conditionalFormatting sqref="R28:R29">
    <cfRule type="cellIs" dxfId="1413" priority="128" operator="equal">
      <formula>0</formula>
    </cfRule>
  </conditionalFormatting>
  <conditionalFormatting sqref="R15:R17">
    <cfRule type="cellIs" priority="124" stopIfTrue="1" operator="equal">
      <formula>"B"</formula>
    </cfRule>
    <cfRule type="cellIs" dxfId="1412" priority="125" stopIfTrue="1" operator="equal">
      <formula>"M"</formula>
    </cfRule>
    <cfRule type="cellIs" dxfId="1411" priority="126" stopIfTrue="1" operator="equal">
      <formula>"NB"</formula>
    </cfRule>
    <cfRule type="cellIs" dxfId="1410" priority="127" stopIfTrue="1" operator="equal">
      <formula>0</formula>
    </cfRule>
  </conditionalFormatting>
  <conditionalFormatting sqref="R25:R26">
    <cfRule type="cellIs" dxfId="1409" priority="121" stopIfTrue="1" operator="equal">
      <formula>"M"</formula>
    </cfRule>
    <cfRule type="cellIs" dxfId="1408" priority="122" stopIfTrue="1" operator="equal">
      <formula>"NB"</formula>
    </cfRule>
    <cfRule type="cellIs" dxfId="1407" priority="123" stopIfTrue="1" operator="equal">
      <formula>"B"</formula>
    </cfRule>
  </conditionalFormatting>
  <conditionalFormatting sqref="R9:R14">
    <cfRule type="cellIs" dxfId="1406" priority="118" stopIfTrue="1" operator="equal">
      <formula>"B"</formula>
    </cfRule>
    <cfRule type="cellIs" dxfId="1405" priority="119" stopIfTrue="1" operator="equal">
      <formula>"M"</formula>
    </cfRule>
    <cfRule type="cellIs" dxfId="1404" priority="120" stopIfTrue="1" operator="between">
      <formula>"NB"</formula>
      <formula>"NB^"</formula>
    </cfRule>
  </conditionalFormatting>
  <conditionalFormatting sqref="S23:V24">
    <cfRule type="cellIs" dxfId="1403" priority="115" stopIfTrue="1" operator="equal">
      <formula>"M"</formula>
    </cfRule>
    <cfRule type="cellIs" dxfId="1402" priority="116" stopIfTrue="1" operator="equal">
      <formula>"NB"</formula>
    </cfRule>
    <cfRule type="cellIs" dxfId="1401" priority="117" stopIfTrue="1" operator="equal">
      <formula>"B"</formula>
    </cfRule>
  </conditionalFormatting>
  <conditionalFormatting sqref="S18:T22 U22:V22 S6:U8 U18:U21 S27:U35">
    <cfRule type="cellIs" dxfId="1400" priority="112" stopIfTrue="1" operator="equal">
      <formula>"M"</formula>
    </cfRule>
    <cfRule type="cellIs" dxfId="1399" priority="113" stopIfTrue="1" operator="equal">
      <formula>"NB"</formula>
    </cfRule>
    <cfRule type="cellIs" dxfId="1398" priority="114" stopIfTrue="1" operator="equal">
      <formula>"B"</formula>
    </cfRule>
  </conditionalFormatting>
  <conditionalFormatting sqref="S28:U29">
    <cfRule type="cellIs" dxfId="1397" priority="111" operator="equal">
      <formula>0</formula>
    </cfRule>
  </conditionalFormatting>
  <conditionalFormatting sqref="S15:U17">
    <cfRule type="cellIs" priority="107" stopIfTrue="1" operator="equal">
      <formula>"B"</formula>
    </cfRule>
    <cfRule type="cellIs" dxfId="1396" priority="108" stopIfTrue="1" operator="equal">
      <formula>"M"</formula>
    </cfRule>
    <cfRule type="cellIs" dxfId="1395" priority="109" stopIfTrue="1" operator="equal">
      <formula>"NB"</formula>
    </cfRule>
    <cfRule type="cellIs" dxfId="1394" priority="110" stopIfTrue="1" operator="equal">
      <formula>0</formula>
    </cfRule>
  </conditionalFormatting>
  <conditionalFormatting sqref="S25:V26">
    <cfRule type="cellIs" dxfId="1393" priority="104" stopIfTrue="1" operator="equal">
      <formula>"M"</formula>
    </cfRule>
    <cfRule type="cellIs" dxfId="1392" priority="105" stopIfTrue="1" operator="equal">
      <formula>"NB"</formula>
    </cfRule>
    <cfRule type="cellIs" dxfId="1391" priority="106" stopIfTrue="1" operator="equal">
      <formula>"B"</formula>
    </cfRule>
  </conditionalFormatting>
  <conditionalFormatting sqref="S9:X14">
    <cfRule type="cellIs" dxfId="1390" priority="101" stopIfTrue="1" operator="equal">
      <formula>"B"</formula>
    </cfRule>
    <cfRule type="cellIs" dxfId="1389" priority="102" stopIfTrue="1" operator="equal">
      <formula>"M"</formula>
    </cfRule>
    <cfRule type="cellIs" dxfId="1388" priority="103" stopIfTrue="1" operator="between">
      <formula>"NB"</formula>
      <formula>"NB^"</formula>
    </cfRule>
  </conditionalFormatting>
  <conditionalFormatting sqref="W18:W21 W28:W35">
    <cfRule type="cellIs" dxfId="1387" priority="98" stopIfTrue="1" operator="equal">
      <formula>"M"</formula>
    </cfRule>
    <cfRule type="cellIs" dxfId="1386" priority="99" stopIfTrue="1" operator="equal">
      <formula>"NB"</formula>
    </cfRule>
    <cfRule type="cellIs" dxfId="1385" priority="100" stopIfTrue="1" operator="equal">
      <formula>"B"</formula>
    </cfRule>
  </conditionalFormatting>
  <conditionalFormatting sqref="W28:W29">
    <cfRule type="cellIs" dxfId="1384" priority="97" operator="equal">
      <formula>0</formula>
    </cfRule>
  </conditionalFormatting>
  <conditionalFormatting sqref="W6:W8 W27">
    <cfRule type="cellIs" dxfId="1383" priority="94" stopIfTrue="1" operator="equal">
      <formula>"M"</formula>
    </cfRule>
    <cfRule type="cellIs" dxfId="1382" priority="95" stopIfTrue="1" operator="equal">
      <formula>"NB"</formula>
    </cfRule>
    <cfRule type="cellIs" dxfId="1381" priority="96" stopIfTrue="1" operator="equal">
      <formula>"B"</formula>
    </cfRule>
  </conditionalFormatting>
  <conditionalFormatting sqref="W15:W17">
    <cfRule type="cellIs" priority="90" stopIfTrue="1" operator="equal">
      <formula>"B"</formula>
    </cfRule>
    <cfRule type="cellIs" dxfId="1380" priority="91" stopIfTrue="1" operator="equal">
      <formula>"M"</formula>
    </cfRule>
    <cfRule type="cellIs" dxfId="1379" priority="92" stopIfTrue="1" operator="equal">
      <formula>"NB"</formula>
    </cfRule>
    <cfRule type="cellIs" dxfId="1378" priority="93" stopIfTrue="1" operator="equal">
      <formula>0</formula>
    </cfRule>
  </conditionalFormatting>
  <conditionalFormatting sqref="W23:W24">
    <cfRule type="cellIs" dxfId="1377" priority="87" stopIfTrue="1" operator="equal">
      <formula>"M"</formula>
    </cfRule>
    <cfRule type="cellIs" dxfId="1376" priority="88" stopIfTrue="1" operator="equal">
      <formula>"NB"</formula>
    </cfRule>
    <cfRule type="cellIs" dxfId="1375" priority="89" stopIfTrue="1" operator="equal">
      <formula>"B"</formula>
    </cfRule>
  </conditionalFormatting>
  <conditionalFormatting sqref="W22">
    <cfRule type="cellIs" dxfId="1374" priority="84" stopIfTrue="1" operator="equal">
      <formula>"M"</formula>
    </cfRule>
    <cfRule type="cellIs" dxfId="1373" priority="85" stopIfTrue="1" operator="equal">
      <formula>"NB"</formula>
    </cfRule>
    <cfRule type="cellIs" dxfId="1372" priority="86" stopIfTrue="1" operator="equal">
      <formula>"B"</formula>
    </cfRule>
  </conditionalFormatting>
  <conditionalFormatting sqref="W25:W26">
    <cfRule type="cellIs" dxfId="1371" priority="81" stopIfTrue="1" operator="equal">
      <formula>"M"</formula>
    </cfRule>
    <cfRule type="cellIs" dxfId="1370" priority="82" stopIfTrue="1" operator="equal">
      <formula>"NB"</formula>
    </cfRule>
    <cfRule type="cellIs" dxfId="1369" priority="83" stopIfTrue="1" operator="equal">
      <formula>"B"</formula>
    </cfRule>
  </conditionalFormatting>
  <conditionalFormatting sqref="X18:X21 X28:X35">
    <cfRule type="cellIs" dxfId="1368" priority="75" stopIfTrue="1" operator="equal">
      <formula>"M"</formula>
    </cfRule>
    <cfRule type="cellIs" dxfId="1367" priority="76" stopIfTrue="1" operator="equal">
      <formula>"NB"</formula>
    </cfRule>
    <cfRule type="cellIs" dxfId="1366" priority="77" stopIfTrue="1" operator="equal">
      <formula>"B"</formula>
    </cfRule>
  </conditionalFormatting>
  <conditionalFormatting sqref="X28:X29">
    <cfRule type="cellIs" dxfId="1365" priority="74" operator="equal">
      <formula>0</formula>
    </cfRule>
  </conditionalFormatting>
  <conditionalFormatting sqref="X6:X8 X27">
    <cfRule type="cellIs" dxfId="1364" priority="71" stopIfTrue="1" operator="equal">
      <formula>"M"</formula>
    </cfRule>
    <cfRule type="cellIs" dxfId="1363" priority="72" stopIfTrue="1" operator="equal">
      <formula>"NB"</formula>
    </cfRule>
    <cfRule type="cellIs" dxfId="1362" priority="73" stopIfTrue="1" operator="equal">
      <formula>"B"</formula>
    </cfRule>
  </conditionalFormatting>
  <conditionalFormatting sqref="X15:X17">
    <cfRule type="cellIs" priority="67" stopIfTrue="1" operator="equal">
      <formula>"B"</formula>
    </cfRule>
    <cfRule type="cellIs" dxfId="1361" priority="68" stopIfTrue="1" operator="equal">
      <formula>"M"</formula>
    </cfRule>
    <cfRule type="cellIs" dxfId="1360" priority="69" stopIfTrue="1" operator="equal">
      <formula>"NB"</formula>
    </cfRule>
    <cfRule type="cellIs" dxfId="1359" priority="70" stopIfTrue="1" operator="equal">
      <formula>0</formula>
    </cfRule>
  </conditionalFormatting>
  <conditionalFormatting sqref="X23:X24">
    <cfRule type="cellIs" dxfId="1358" priority="64" stopIfTrue="1" operator="equal">
      <formula>"M"</formula>
    </cfRule>
    <cfRule type="cellIs" dxfId="1357" priority="65" stopIfTrue="1" operator="equal">
      <formula>"NB"</formula>
    </cfRule>
    <cfRule type="cellIs" dxfId="1356" priority="66" stopIfTrue="1" operator="equal">
      <formula>"B"</formula>
    </cfRule>
  </conditionalFormatting>
  <conditionalFormatting sqref="X22">
    <cfRule type="cellIs" dxfId="1355" priority="61" stopIfTrue="1" operator="equal">
      <formula>"M"</formula>
    </cfRule>
    <cfRule type="cellIs" dxfId="1354" priority="62" stopIfTrue="1" operator="equal">
      <formula>"NB"</formula>
    </cfRule>
    <cfRule type="cellIs" dxfId="1353" priority="63" stopIfTrue="1" operator="equal">
      <formula>"B"</formula>
    </cfRule>
  </conditionalFormatting>
  <conditionalFormatting sqref="X25:X26">
    <cfRule type="cellIs" dxfId="1352" priority="58" stopIfTrue="1" operator="equal">
      <formula>"M"</formula>
    </cfRule>
    <cfRule type="cellIs" dxfId="1351" priority="59" stopIfTrue="1" operator="equal">
      <formula>"NB"</formula>
    </cfRule>
    <cfRule type="cellIs" dxfId="1350" priority="60" stopIfTrue="1" operator="equal">
      <formula>"B"</formula>
    </cfRule>
  </conditionalFormatting>
  <conditionalFormatting sqref="Y9:Z14">
    <cfRule type="cellIs" dxfId="1349" priority="52" stopIfTrue="1" operator="equal">
      <formula>"B"</formula>
    </cfRule>
    <cfRule type="cellIs" dxfId="1348" priority="53" stopIfTrue="1" operator="equal">
      <formula>"M"</formula>
    </cfRule>
    <cfRule type="cellIs" dxfId="1347" priority="54" stopIfTrue="1" operator="between">
      <formula>"NB"</formula>
      <formula>"NB^"</formula>
    </cfRule>
  </conditionalFormatting>
  <conditionalFormatting sqref="Y28:Y35 Y18:Z21 Z30:Z35">
    <cfRule type="cellIs" dxfId="1346" priority="49" stopIfTrue="1" operator="equal">
      <formula>"M"</formula>
    </cfRule>
    <cfRule type="cellIs" dxfId="1345" priority="50" stopIfTrue="1" operator="equal">
      <formula>"NB"</formula>
    </cfRule>
    <cfRule type="cellIs" dxfId="1344" priority="51" stopIfTrue="1" operator="equal">
      <formula>"B"</formula>
    </cfRule>
  </conditionalFormatting>
  <conditionalFormatting sqref="Y28:Y29">
    <cfRule type="cellIs" dxfId="1343" priority="48" operator="equal">
      <formula>0</formula>
    </cfRule>
  </conditionalFormatting>
  <conditionalFormatting sqref="Y6:Z8 Y27:Z27">
    <cfRule type="cellIs" dxfId="1342" priority="45" stopIfTrue="1" operator="equal">
      <formula>"M"</formula>
    </cfRule>
    <cfRule type="cellIs" dxfId="1341" priority="46" stopIfTrue="1" operator="equal">
      <formula>"NB"</formula>
    </cfRule>
    <cfRule type="cellIs" dxfId="1340" priority="47" stopIfTrue="1" operator="equal">
      <formula>"B"</formula>
    </cfRule>
  </conditionalFormatting>
  <conditionalFormatting sqref="Y15:Z17">
    <cfRule type="cellIs" priority="41" stopIfTrue="1" operator="equal">
      <formula>"B"</formula>
    </cfRule>
    <cfRule type="cellIs" dxfId="1339" priority="42" stopIfTrue="1" operator="equal">
      <formula>"M"</formula>
    </cfRule>
    <cfRule type="cellIs" dxfId="1338" priority="43" stopIfTrue="1" operator="equal">
      <formula>"NB"</formula>
    </cfRule>
    <cfRule type="cellIs" dxfId="1337" priority="44" stopIfTrue="1" operator="equal">
      <formula>0</formula>
    </cfRule>
  </conditionalFormatting>
  <conditionalFormatting sqref="Y23:Y24">
    <cfRule type="cellIs" dxfId="1336" priority="38" stopIfTrue="1" operator="equal">
      <formula>"M"</formula>
    </cfRule>
    <cfRule type="cellIs" dxfId="1335" priority="39" stopIfTrue="1" operator="equal">
      <formula>"NB"</formula>
    </cfRule>
    <cfRule type="cellIs" dxfId="1334" priority="40" stopIfTrue="1" operator="equal">
      <formula>"B"</formula>
    </cfRule>
  </conditionalFormatting>
  <conditionalFormatting sqref="Y22:Z22">
    <cfRule type="cellIs" dxfId="1333" priority="35" stopIfTrue="1" operator="equal">
      <formula>"M"</formula>
    </cfRule>
    <cfRule type="cellIs" dxfId="1332" priority="36" stopIfTrue="1" operator="equal">
      <formula>"NB"</formula>
    </cfRule>
    <cfRule type="cellIs" dxfId="1331" priority="37" stopIfTrue="1" operator="equal">
      <formula>"B"</formula>
    </cfRule>
  </conditionalFormatting>
  <conditionalFormatting sqref="Y25:Z26">
    <cfRule type="cellIs" dxfId="1330" priority="32" stopIfTrue="1" operator="equal">
      <formula>"M"</formula>
    </cfRule>
    <cfRule type="cellIs" dxfId="1329" priority="33" stopIfTrue="1" operator="equal">
      <formula>"NB"</formula>
    </cfRule>
    <cfRule type="cellIs" dxfId="1328" priority="34" stopIfTrue="1" operator="equal">
      <formula>"B"</formula>
    </cfRule>
  </conditionalFormatting>
  <conditionalFormatting sqref="AA23:AD24">
    <cfRule type="cellIs" dxfId="1327" priority="29" stopIfTrue="1" operator="equal">
      <formula>"M"</formula>
    </cfRule>
    <cfRule type="cellIs" dxfId="1326" priority="30" stopIfTrue="1" operator="equal">
      <formula>"NB"</formula>
    </cfRule>
    <cfRule type="cellIs" dxfId="1325" priority="31" stopIfTrue="1" operator="equal">
      <formula>"B"</formula>
    </cfRule>
  </conditionalFormatting>
  <conditionalFormatting sqref="AA18:AB22 AA27:AB35 AA6:AE8 AC18:AE21 AC30:AE35">
    <cfRule type="cellIs" dxfId="1324" priority="26" stopIfTrue="1" operator="equal">
      <formula>"M"</formula>
    </cfRule>
    <cfRule type="cellIs" dxfId="1323" priority="27" stopIfTrue="1" operator="equal">
      <formula>"NB"</formula>
    </cfRule>
    <cfRule type="cellIs" dxfId="1322" priority="28" stopIfTrue="1" operator="equal">
      <formula>"B"</formula>
    </cfRule>
  </conditionalFormatting>
  <conditionalFormatting sqref="AA28:AB29">
    <cfRule type="cellIs" dxfId="1321" priority="25" operator="equal">
      <formula>0</formula>
    </cfRule>
  </conditionalFormatting>
  <conditionalFormatting sqref="AA15:AE17">
    <cfRule type="cellIs" priority="21" stopIfTrue="1" operator="equal">
      <formula>"B"</formula>
    </cfRule>
    <cfRule type="cellIs" dxfId="1320" priority="22" stopIfTrue="1" operator="equal">
      <formula>"M"</formula>
    </cfRule>
    <cfRule type="cellIs" dxfId="1319" priority="23" stopIfTrue="1" operator="equal">
      <formula>"NB"</formula>
    </cfRule>
    <cfRule type="cellIs" dxfId="1318" priority="24" stopIfTrue="1" operator="equal">
      <formula>0</formula>
    </cfRule>
  </conditionalFormatting>
  <conditionalFormatting sqref="AA25:AD26">
    <cfRule type="cellIs" dxfId="1317" priority="18" stopIfTrue="1" operator="equal">
      <formula>"M"</formula>
    </cfRule>
    <cfRule type="cellIs" dxfId="1316" priority="19" stopIfTrue="1" operator="equal">
      <formula>"NB"</formula>
    </cfRule>
    <cfRule type="cellIs" dxfId="1315" priority="20" stopIfTrue="1" operator="equal">
      <formula>"B"</formula>
    </cfRule>
  </conditionalFormatting>
  <conditionalFormatting sqref="AA9:AE14">
    <cfRule type="cellIs" dxfId="1314" priority="15" stopIfTrue="1" operator="equal">
      <formula>"B"</formula>
    </cfRule>
    <cfRule type="cellIs" dxfId="1313" priority="16" stopIfTrue="1" operator="equal">
      <formula>"M"</formula>
    </cfRule>
    <cfRule type="cellIs" dxfId="1312" priority="17" stopIfTrue="1" operator="between">
      <formula>"NB"</formula>
      <formula>"NB^"</formula>
    </cfRule>
  </conditionalFormatting>
  <conditionalFormatting sqref="AF22:AH29">
    <cfRule type="cellIs" dxfId="1311" priority="12" stopIfTrue="1" operator="equal">
      <formula>"M"</formula>
    </cfRule>
    <cfRule type="cellIs" dxfId="1310" priority="13" stopIfTrue="1" operator="equal">
      <formula>"NB"</formula>
    </cfRule>
    <cfRule type="cellIs" dxfId="1309" priority="14" stopIfTrue="1" operator="equal">
      <formula>"B"</formula>
    </cfRule>
  </conditionalFormatting>
  <conditionalFormatting sqref="AF28:AH29">
    <cfRule type="cellIs" dxfId="1308" priority="11" operator="equal">
      <formula>0</formula>
    </cfRule>
  </conditionalFormatting>
  <conditionalFormatting sqref="AF6:AH8 AF18:AH21 AF30:AH35">
    <cfRule type="cellIs" dxfId="1307" priority="8" stopIfTrue="1" operator="equal">
      <formula>"M"</formula>
    </cfRule>
    <cfRule type="cellIs" dxfId="1306" priority="9" stopIfTrue="1" operator="equal">
      <formula>"NB"</formula>
    </cfRule>
    <cfRule type="cellIs" dxfId="1305" priority="10" stopIfTrue="1" operator="equal">
      <formula>"B"</formula>
    </cfRule>
  </conditionalFormatting>
  <conditionalFormatting sqref="AF15:AH17">
    <cfRule type="cellIs" priority="4" stopIfTrue="1" operator="equal">
      <formula>"B"</formula>
    </cfRule>
    <cfRule type="cellIs" dxfId="1304" priority="5" stopIfTrue="1" operator="equal">
      <formula>"M"</formula>
    </cfRule>
    <cfRule type="cellIs" dxfId="1303" priority="6" stopIfTrue="1" operator="equal">
      <formula>"NB"</formula>
    </cfRule>
    <cfRule type="cellIs" dxfId="1302" priority="7" stopIfTrue="1" operator="equal">
      <formula>0</formula>
    </cfRule>
  </conditionalFormatting>
  <conditionalFormatting sqref="AF9:AH14">
    <cfRule type="cellIs" dxfId="1301" priority="1" stopIfTrue="1" operator="equal">
      <formula>"B"</formula>
    </cfRule>
    <cfRule type="cellIs" dxfId="1300" priority="2" stopIfTrue="1" operator="equal">
      <formula>"M"</formula>
    </cfRule>
    <cfRule type="cellIs" dxfId="1299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103</v>
      </c>
    </row>
    <row r="4" spans="1:44" s="5" customFormat="1" ht="15.75" customHeight="1" thickBot="1" x14ac:dyDescent="0.3">
      <c r="C4" s="6"/>
      <c r="D4" s="6" t="s">
        <v>3</v>
      </c>
      <c r="E4" s="5" t="s">
        <v>3</v>
      </c>
      <c r="K4" s="6" t="s">
        <v>3</v>
      </c>
      <c r="L4" s="5" t="s">
        <v>3</v>
      </c>
      <c r="R4" s="5" t="s">
        <v>3</v>
      </c>
      <c r="S4" s="5" t="s">
        <v>3</v>
      </c>
      <c r="T4" s="5" t="s">
        <v>4</v>
      </c>
      <c r="Y4" s="5" t="s">
        <v>3</v>
      </c>
      <c r="Z4" s="5" t="s">
        <v>3</v>
      </c>
      <c r="AF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105">
        <v>30</v>
      </c>
      <c r="AH5" s="106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9</v>
      </c>
      <c r="E6" s="72" t="s">
        <v>8</v>
      </c>
      <c r="F6" s="72" t="s">
        <v>9</v>
      </c>
      <c r="G6" s="72" t="s">
        <v>8</v>
      </c>
      <c r="H6" s="72" t="s">
        <v>9</v>
      </c>
      <c r="I6" s="72" t="s">
        <v>9</v>
      </c>
      <c r="J6" s="72" t="s">
        <v>9</v>
      </c>
      <c r="K6" s="72" t="s">
        <v>9</v>
      </c>
      <c r="L6" s="72" t="s">
        <v>9</v>
      </c>
      <c r="M6" s="72" t="s">
        <v>8</v>
      </c>
      <c r="N6" s="72" t="s">
        <v>8</v>
      </c>
      <c r="O6" s="72" t="s">
        <v>9</v>
      </c>
      <c r="P6" s="72" t="s">
        <v>8</v>
      </c>
      <c r="Q6" s="72" t="s">
        <v>9</v>
      </c>
      <c r="R6" s="72" t="s">
        <v>9</v>
      </c>
      <c r="S6" s="72" t="s">
        <v>9</v>
      </c>
      <c r="T6" s="72" t="s">
        <v>8</v>
      </c>
      <c r="U6" s="72" t="s">
        <v>8</v>
      </c>
      <c r="V6" s="72" t="s">
        <v>8</v>
      </c>
      <c r="W6" s="72" t="s">
        <v>8</v>
      </c>
      <c r="X6" s="72" t="s">
        <v>8</v>
      </c>
      <c r="Y6" s="72" t="s">
        <v>9</v>
      </c>
      <c r="Z6" s="72" t="s">
        <v>9</v>
      </c>
      <c r="AA6" s="72" t="s">
        <v>8</v>
      </c>
      <c r="AB6" s="72" t="s">
        <v>9</v>
      </c>
      <c r="AC6" s="72" t="s">
        <v>9</v>
      </c>
      <c r="AD6" s="72" t="s">
        <v>9</v>
      </c>
      <c r="AE6" s="72" t="s">
        <v>9</v>
      </c>
      <c r="AF6" s="72" t="s">
        <v>8</v>
      </c>
      <c r="AG6" s="107"/>
      <c r="AH6" s="107"/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38" t="s">
        <v>10</v>
      </c>
      <c r="B7" s="139"/>
      <c r="C7" s="14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14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73" t="s">
        <v>11</v>
      </c>
      <c r="AG7" s="108"/>
      <c r="AH7" s="108"/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44" t="s">
        <v>93</v>
      </c>
      <c r="B8" s="145"/>
      <c r="C8" s="146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35" t="s">
        <v>82</v>
      </c>
      <c r="AD8" s="135" t="s">
        <v>82</v>
      </c>
      <c r="AE8" s="136" t="s">
        <v>11</v>
      </c>
      <c r="AF8" s="18" t="s">
        <v>11</v>
      </c>
      <c r="AG8" s="109"/>
      <c r="AH8" s="109"/>
      <c r="AI8" s="19">
        <f t="shared" si="0"/>
        <v>0.93103448275862066</v>
      </c>
    </row>
    <row r="9" spans="1:44" ht="15.75" customHeight="1" x14ac:dyDescent="0.25">
      <c r="A9" s="147" t="s">
        <v>13</v>
      </c>
      <c r="B9" s="148"/>
      <c r="C9" s="149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12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12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79" t="s">
        <v>11</v>
      </c>
      <c r="AG9" s="107"/>
      <c r="AH9" s="110"/>
      <c r="AI9" s="13">
        <f t="shared" si="0"/>
        <v>0.93103448275862066</v>
      </c>
    </row>
    <row r="10" spans="1:44" ht="15.75" customHeight="1" x14ac:dyDescent="0.25">
      <c r="A10" s="150" t="s">
        <v>14</v>
      </c>
      <c r="B10" s="151"/>
      <c r="C10" s="152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12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12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80" t="s">
        <v>11</v>
      </c>
      <c r="AG10" s="111"/>
      <c r="AH10" s="112"/>
      <c r="AI10" s="21">
        <f t="shared" si="0"/>
        <v>0.93103448275862066</v>
      </c>
    </row>
    <row r="11" spans="1:44" ht="15.75" customHeight="1" x14ac:dyDescent="0.25">
      <c r="A11" s="150" t="s">
        <v>15</v>
      </c>
      <c r="B11" s="151"/>
      <c r="C11" s="152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12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80" t="s">
        <v>11</v>
      </c>
      <c r="AG11" s="111"/>
      <c r="AH11" s="112"/>
      <c r="AI11" s="21">
        <f t="shared" si="0"/>
        <v>0.96551724137931039</v>
      </c>
    </row>
    <row r="12" spans="1:44" ht="15.75" customHeight="1" x14ac:dyDescent="0.25">
      <c r="A12" s="150" t="s">
        <v>16</v>
      </c>
      <c r="B12" s="151"/>
      <c r="C12" s="152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12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80" t="s">
        <v>11</v>
      </c>
      <c r="AG12" s="111"/>
      <c r="AH12" s="112"/>
      <c r="AI12" s="21">
        <f t="shared" si="0"/>
        <v>0.96551724137931039</v>
      </c>
    </row>
    <row r="13" spans="1:44" ht="15.75" customHeight="1" x14ac:dyDescent="0.25">
      <c r="A13" s="150" t="s">
        <v>17</v>
      </c>
      <c r="B13" s="151"/>
      <c r="C13" s="152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12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80" t="s">
        <v>11</v>
      </c>
      <c r="AG13" s="111"/>
      <c r="AH13" s="112"/>
      <c r="AI13" s="21">
        <f t="shared" si="0"/>
        <v>0.96551724137931039</v>
      </c>
    </row>
    <row r="14" spans="1:44" ht="15.75" customHeight="1" x14ac:dyDescent="0.25">
      <c r="A14" s="138" t="s">
        <v>18</v>
      </c>
      <c r="B14" s="139"/>
      <c r="C14" s="14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12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108"/>
      <c r="AH14" s="113"/>
      <c r="AI14" s="17">
        <f t="shared" si="0"/>
        <v>0.96551724137931039</v>
      </c>
    </row>
    <row r="15" spans="1:44" ht="15.75" customHeight="1" x14ac:dyDescent="0.25">
      <c r="A15" s="147" t="s">
        <v>19</v>
      </c>
      <c r="B15" s="148"/>
      <c r="C15" s="149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124" t="s">
        <v>11</v>
      </c>
      <c r="AD15" s="124" t="s">
        <v>11</v>
      </c>
      <c r="AE15" s="124" t="s">
        <v>11</v>
      </c>
      <c r="AF15" s="124" t="s">
        <v>11</v>
      </c>
      <c r="AG15" s="107"/>
      <c r="AH15" s="107"/>
      <c r="AI15" s="13">
        <f t="shared" si="0"/>
        <v>1</v>
      </c>
    </row>
    <row r="16" spans="1:44" ht="15.75" customHeight="1" x14ac:dyDescent="0.25">
      <c r="A16" s="150" t="s">
        <v>20</v>
      </c>
      <c r="B16" s="151"/>
      <c r="C16" s="152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23" t="s">
        <v>11</v>
      </c>
      <c r="AD16" s="123" t="s">
        <v>11</v>
      </c>
      <c r="AE16" s="123" t="s">
        <v>11</v>
      </c>
      <c r="AF16" s="123" t="s">
        <v>11</v>
      </c>
      <c r="AG16" s="111"/>
      <c r="AH16" s="111"/>
      <c r="AI16" s="21">
        <f t="shared" si="0"/>
        <v>1</v>
      </c>
    </row>
    <row r="17" spans="1:35" ht="15.75" customHeight="1" x14ac:dyDescent="0.25">
      <c r="A17" s="138" t="s">
        <v>92</v>
      </c>
      <c r="B17" s="139"/>
      <c r="C17" s="140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23" t="s">
        <v>11</v>
      </c>
      <c r="AD17" s="123" t="s">
        <v>11</v>
      </c>
      <c r="AE17" s="123" t="s">
        <v>11</v>
      </c>
      <c r="AF17" s="123" t="s">
        <v>11</v>
      </c>
      <c r="AG17" s="113"/>
      <c r="AH17" s="113"/>
      <c r="AI17" s="17">
        <f t="shared" si="0"/>
        <v>1</v>
      </c>
    </row>
    <row r="18" spans="1:35" ht="15.75" customHeight="1" x14ac:dyDescent="0.25">
      <c r="A18" s="147" t="s">
        <v>21</v>
      </c>
      <c r="B18" s="148"/>
      <c r="C18" s="149"/>
      <c r="D18" s="20" t="s">
        <v>11</v>
      </c>
      <c r="E18" s="20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124" t="s">
        <v>11</v>
      </c>
      <c r="U18" s="124" t="s">
        <v>11</v>
      </c>
      <c r="V18" s="124" t="s">
        <v>11</v>
      </c>
      <c r="W18" s="124" t="s">
        <v>11</v>
      </c>
      <c r="X18" s="124" t="s">
        <v>11</v>
      </c>
      <c r="Y18" s="124" t="s">
        <v>11</v>
      </c>
      <c r="Z18" s="124" t="s">
        <v>11</v>
      </c>
      <c r="AA18" s="22" t="s">
        <v>11</v>
      </c>
      <c r="AB18" s="124" t="s">
        <v>11</v>
      </c>
      <c r="AC18" s="124" t="s">
        <v>11</v>
      </c>
      <c r="AD18" s="124" t="s">
        <v>11</v>
      </c>
      <c r="AE18" s="124" t="s">
        <v>11</v>
      </c>
      <c r="AF18" s="124" t="s">
        <v>11</v>
      </c>
      <c r="AG18" s="107"/>
      <c r="AH18" s="107"/>
      <c r="AI18" s="13">
        <f t="shared" si="0"/>
        <v>1</v>
      </c>
    </row>
    <row r="19" spans="1:35" ht="15.75" customHeight="1" x14ac:dyDescent="0.25">
      <c r="A19" s="150" t="s">
        <v>23</v>
      </c>
      <c r="B19" s="151"/>
      <c r="C19" s="152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16" t="s">
        <v>11</v>
      </c>
      <c r="Q19" s="16" t="s">
        <v>11</v>
      </c>
      <c r="R19" s="16" t="s">
        <v>11</v>
      </c>
      <c r="S19" s="16" t="s">
        <v>11</v>
      </c>
      <c r="T19" s="123" t="s">
        <v>11</v>
      </c>
      <c r="U19" s="123" t="s">
        <v>11</v>
      </c>
      <c r="V19" s="123" t="s">
        <v>11</v>
      </c>
      <c r="W19" s="123" t="s">
        <v>11</v>
      </c>
      <c r="X19" s="123" t="s">
        <v>11</v>
      </c>
      <c r="Y19" s="123" t="s">
        <v>11</v>
      </c>
      <c r="Z19" s="123" t="s">
        <v>11</v>
      </c>
      <c r="AA19" s="23" t="s">
        <v>11</v>
      </c>
      <c r="AB19" s="123" t="s">
        <v>11</v>
      </c>
      <c r="AC19" s="123" t="s">
        <v>11</v>
      </c>
      <c r="AD19" s="123" t="s">
        <v>11</v>
      </c>
      <c r="AE19" s="123" t="s">
        <v>11</v>
      </c>
      <c r="AF19" s="123" t="s">
        <v>11</v>
      </c>
      <c r="AG19" s="112"/>
      <c r="AH19" s="112"/>
      <c r="AI19" s="21">
        <f t="shared" si="0"/>
        <v>1</v>
      </c>
    </row>
    <row r="20" spans="1:35" ht="15.75" customHeight="1" x14ac:dyDescent="0.25">
      <c r="A20" s="150" t="s">
        <v>24</v>
      </c>
      <c r="B20" s="151"/>
      <c r="C20" s="152"/>
      <c r="D20" s="80" t="s">
        <v>11</v>
      </c>
      <c r="E20" s="80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16" t="s">
        <v>11</v>
      </c>
      <c r="O20" s="16" t="s">
        <v>11</v>
      </c>
      <c r="P20" s="16" t="s">
        <v>11</v>
      </c>
      <c r="Q20" s="16" t="s">
        <v>11</v>
      </c>
      <c r="R20" s="16" t="s">
        <v>11</v>
      </c>
      <c r="S20" s="16" t="s">
        <v>11</v>
      </c>
      <c r="T20" s="123" t="s">
        <v>11</v>
      </c>
      <c r="U20" s="123" t="s">
        <v>11</v>
      </c>
      <c r="V20" s="123" t="s">
        <v>11</v>
      </c>
      <c r="W20" s="123" t="s">
        <v>11</v>
      </c>
      <c r="X20" s="123" t="s">
        <v>11</v>
      </c>
      <c r="Y20" s="123" t="s">
        <v>11</v>
      </c>
      <c r="Z20" s="123" t="s">
        <v>11</v>
      </c>
      <c r="AA20" s="23" t="s">
        <v>11</v>
      </c>
      <c r="AB20" s="123" t="s">
        <v>11</v>
      </c>
      <c r="AC20" s="123" t="s">
        <v>11</v>
      </c>
      <c r="AD20" s="123" t="s">
        <v>11</v>
      </c>
      <c r="AE20" s="123" t="s">
        <v>11</v>
      </c>
      <c r="AF20" s="123" t="s">
        <v>11</v>
      </c>
      <c r="AG20" s="112"/>
      <c r="AH20" s="112"/>
      <c r="AI20" s="21">
        <f t="shared" si="0"/>
        <v>1</v>
      </c>
    </row>
    <row r="21" spans="1:35" ht="15.75" customHeight="1" x14ac:dyDescent="0.25">
      <c r="A21" s="138" t="s">
        <v>25</v>
      </c>
      <c r="B21" s="139"/>
      <c r="C21" s="14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125" t="s">
        <v>11</v>
      </c>
      <c r="U21" s="125" t="s">
        <v>11</v>
      </c>
      <c r="V21" s="125" t="s">
        <v>11</v>
      </c>
      <c r="W21" s="125" t="s">
        <v>11</v>
      </c>
      <c r="X21" s="125" t="s">
        <v>11</v>
      </c>
      <c r="Y21" s="125" t="s">
        <v>11</v>
      </c>
      <c r="Z21" s="125" t="s">
        <v>11</v>
      </c>
      <c r="AA21" s="14" t="s">
        <v>11</v>
      </c>
      <c r="AB21" s="125" t="s">
        <v>11</v>
      </c>
      <c r="AC21" s="125" t="s">
        <v>11</v>
      </c>
      <c r="AD21" s="125" t="s">
        <v>11</v>
      </c>
      <c r="AE21" s="125" t="s">
        <v>11</v>
      </c>
      <c r="AF21" s="125" t="s">
        <v>11</v>
      </c>
      <c r="AG21" s="108"/>
      <c r="AH21" s="108"/>
      <c r="AI21" s="17">
        <f t="shared" si="0"/>
        <v>1</v>
      </c>
    </row>
    <row r="22" spans="1:35" ht="15.75" customHeight="1" x14ac:dyDescent="0.25">
      <c r="A22" s="144" t="s">
        <v>26</v>
      </c>
      <c r="B22" s="145"/>
      <c r="C22" s="146"/>
      <c r="D22" s="81" t="s">
        <v>11</v>
      </c>
      <c r="E22" s="81" t="s">
        <v>11</v>
      </c>
      <c r="F22" s="81" t="s">
        <v>11</v>
      </c>
      <c r="G22" s="81" t="s">
        <v>11</v>
      </c>
      <c r="H22" s="81" t="s">
        <v>11</v>
      </c>
      <c r="I22" s="81" t="s">
        <v>11</v>
      </c>
      <c r="J22" s="81" t="s">
        <v>12</v>
      </c>
      <c r="K22" s="81" t="s">
        <v>12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12</v>
      </c>
      <c r="R22" s="81" t="s">
        <v>12</v>
      </c>
      <c r="S22" s="81" t="s">
        <v>12</v>
      </c>
      <c r="T22" s="81" t="s">
        <v>11</v>
      </c>
      <c r="U22" s="81" t="s">
        <v>11</v>
      </c>
      <c r="V22" s="81" t="s">
        <v>12</v>
      </c>
      <c r="W22" s="81" t="s">
        <v>11</v>
      </c>
      <c r="X22" s="81" t="s">
        <v>11</v>
      </c>
      <c r="Y22" s="81" t="s">
        <v>11</v>
      </c>
      <c r="Z22" s="81" t="s">
        <v>11</v>
      </c>
      <c r="AA22" s="24" t="s">
        <v>11</v>
      </c>
      <c r="AB22" s="81" t="s">
        <v>11</v>
      </c>
      <c r="AC22" s="81" t="s">
        <v>11</v>
      </c>
      <c r="AD22" s="81" t="s">
        <v>11</v>
      </c>
      <c r="AE22" s="81" t="s">
        <v>11</v>
      </c>
      <c r="AF22" s="81" t="s">
        <v>11</v>
      </c>
      <c r="AG22" s="114"/>
      <c r="AH22" s="114"/>
      <c r="AI22" s="19">
        <f t="shared" si="0"/>
        <v>0.7931034482758621</v>
      </c>
    </row>
    <row r="23" spans="1:35" ht="15.75" customHeight="1" x14ac:dyDescent="0.25">
      <c r="A23" s="147" t="s">
        <v>27</v>
      </c>
      <c r="B23" s="148"/>
      <c r="C23" s="149"/>
      <c r="D23" s="22" t="s">
        <v>11</v>
      </c>
      <c r="E23" s="20" t="s">
        <v>11</v>
      </c>
      <c r="F23" s="20" t="s">
        <v>11</v>
      </c>
      <c r="G23" s="20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124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124" t="s">
        <v>12</v>
      </c>
      <c r="V23" s="124" t="s">
        <v>11</v>
      </c>
      <c r="W23" s="124" t="s">
        <v>11</v>
      </c>
      <c r="X23" s="124" t="s">
        <v>11</v>
      </c>
      <c r="Y23" s="124" t="s">
        <v>11</v>
      </c>
      <c r="Z23" s="124" t="s">
        <v>11</v>
      </c>
      <c r="AA23" s="124" t="s">
        <v>11</v>
      </c>
      <c r="AB23" s="124" t="s">
        <v>11</v>
      </c>
      <c r="AC23" s="124" t="s">
        <v>11</v>
      </c>
      <c r="AD23" s="124" t="s">
        <v>11</v>
      </c>
      <c r="AE23" s="124" t="s">
        <v>11</v>
      </c>
      <c r="AF23" s="124" t="s">
        <v>11</v>
      </c>
      <c r="AG23" s="110"/>
      <c r="AH23" s="110"/>
      <c r="AI23" s="13">
        <f t="shared" si="0"/>
        <v>0.96551724137931039</v>
      </c>
    </row>
    <row r="24" spans="1:35" ht="15.75" customHeight="1" x14ac:dyDescent="0.25">
      <c r="A24" s="138" t="s">
        <v>28</v>
      </c>
      <c r="B24" s="139"/>
      <c r="C24" s="140"/>
      <c r="D24" s="14" t="s">
        <v>11</v>
      </c>
      <c r="E24" s="15" t="s">
        <v>11</v>
      </c>
      <c r="F24" s="15" t="s">
        <v>11</v>
      </c>
      <c r="G24" s="15" t="s">
        <v>12</v>
      </c>
      <c r="H24" s="15" t="s">
        <v>11</v>
      </c>
      <c r="I24" s="15" t="s">
        <v>11</v>
      </c>
      <c r="J24" s="15" t="s">
        <v>11</v>
      </c>
      <c r="K24" s="15" t="s">
        <v>11</v>
      </c>
      <c r="L24" s="15" t="s">
        <v>11</v>
      </c>
      <c r="M24" s="15" t="s">
        <v>11</v>
      </c>
      <c r="N24" s="15" t="s">
        <v>11</v>
      </c>
      <c r="O24" s="125" t="s">
        <v>11</v>
      </c>
      <c r="P24" s="15" t="s">
        <v>11</v>
      </c>
      <c r="Q24" s="15" t="s">
        <v>11</v>
      </c>
      <c r="R24" s="15" t="s">
        <v>11</v>
      </c>
      <c r="S24" s="15" t="s">
        <v>11</v>
      </c>
      <c r="T24" s="15" t="s">
        <v>11</v>
      </c>
      <c r="U24" s="125" t="s">
        <v>12</v>
      </c>
      <c r="V24" s="125" t="s">
        <v>11</v>
      </c>
      <c r="W24" s="125" t="s">
        <v>11</v>
      </c>
      <c r="X24" s="125" t="s">
        <v>11</v>
      </c>
      <c r="Y24" s="125" t="s">
        <v>11</v>
      </c>
      <c r="Z24" s="125" t="s">
        <v>11</v>
      </c>
      <c r="AA24" s="125" t="s">
        <v>11</v>
      </c>
      <c r="AB24" s="125" t="s">
        <v>12</v>
      </c>
      <c r="AC24" s="125" t="s">
        <v>12</v>
      </c>
      <c r="AD24" s="125" t="s">
        <v>12</v>
      </c>
      <c r="AE24" s="125" t="s">
        <v>11</v>
      </c>
      <c r="AF24" s="125" t="s">
        <v>11</v>
      </c>
      <c r="AG24" s="113"/>
      <c r="AH24" s="113"/>
      <c r="AI24" s="17">
        <f t="shared" si="0"/>
        <v>0.82758620689655171</v>
      </c>
    </row>
    <row r="25" spans="1:35" ht="15.75" customHeight="1" x14ac:dyDescent="0.25">
      <c r="A25" s="144" t="s">
        <v>29</v>
      </c>
      <c r="B25" s="145"/>
      <c r="C25" s="146"/>
      <c r="D25" s="81" t="s">
        <v>11</v>
      </c>
      <c r="E25" s="81" t="s">
        <v>11</v>
      </c>
      <c r="F25" s="81" t="s">
        <v>11</v>
      </c>
      <c r="G25" s="25" t="s">
        <v>11</v>
      </c>
      <c r="H25" s="25" t="s">
        <v>11</v>
      </c>
      <c r="I25" s="25" t="s">
        <v>11</v>
      </c>
      <c r="J25" s="25" t="s">
        <v>22</v>
      </c>
      <c r="K25" s="25" t="s">
        <v>22</v>
      </c>
      <c r="L25" s="25" t="s">
        <v>22</v>
      </c>
      <c r="M25" s="25" t="s">
        <v>22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101" t="s">
        <v>11</v>
      </c>
      <c r="AB25" s="25" t="s">
        <v>11</v>
      </c>
      <c r="AC25" s="25" t="s">
        <v>11</v>
      </c>
      <c r="AD25" s="25" t="s">
        <v>11</v>
      </c>
      <c r="AE25" s="25" t="s">
        <v>11</v>
      </c>
      <c r="AF25" s="25" t="s">
        <v>11</v>
      </c>
      <c r="AG25" s="115"/>
      <c r="AH25" s="115"/>
      <c r="AI25" s="19">
        <f t="shared" si="0"/>
        <v>1</v>
      </c>
    </row>
    <row r="26" spans="1:35" ht="15.75" customHeight="1" x14ac:dyDescent="0.25">
      <c r="A26" s="144" t="s">
        <v>30</v>
      </c>
      <c r="B26" s="145"/>
      <c r="C26" s="146"/>
      <c r="D26" s="81" t="s">
        <v>11</v>
      </c>
      <c r="E26" s="81" t="s">
        <v>11</v>
      </c>
      <c r="F26" s="81" t="s">
        <v>11</v>
      </c>
      <c r="G26" s="25" t="s">
        <v>11</v>
      </c>
      <c r="H26" s="25" t="s">
        <v>11</v>
      </c>
      <c r="I26" s="25" t="s">
        <v>11</v>
      </c>
      <c r="J26" s="25" t="s">
        <v>22</v>
      </c>
      <c r="K26" s="25" t="s">
        <v>22</v>
      </c>
      <c r="L26" s="25" t="s">
        <v>22</v>
      </c>
      <c r="M26" s="25" t="s">
        <v>22</v>
      </c>
      <c r="N26" s="25" t="s">
        <v>11</v>
      </c>
      <c r="O26" s="25" t="s">
        <v>11</v>
      </c>
      <c r="P26" s="25" t="s">
        <v>11</v>
      </c>
      <c r="Q26" s="25" t="s">
        <v>11</v>
      </c>
      <c r="R26" s="25" t="s">
        <v>11</v>
      </c>
      <c r="S26" s="25" t="s">
        <v>11</v>
      </c>
      <c r="T26" s="25" t="s">
        <v>11</v>
      </c>
      <c r="U26" s="25" t="s">
        <v>11</v>
      </c>
      <c r="V26" s="25" t="s">
        <v>11</v>
      </c>
      <c r="W26" s="25" t="s">
        <v>11</v>
      </c>
      <c r="X26" s="25" t="s">
        <v>11</v>
      </c>
      <c r="Y26" s="25" t="s">
        <v>22</v>
      </c>
      <c r="Z26" s="25" t="s">
        <v>22</v>
      </c>
      <c r="AA26" s="81" t="s">
        <v>11</v>
      </c>
      <c r="AB26" s="25" t="s">
        <v>11</v>
      </c>
      <c r="AC26" s="25" t="s">
        <v>11</v>
      </c>
      <c r="AD26" s="25" t="s">
        <v>11</v>
      </c>
      <c r="AE26" s="25" t="s">
        <v>11</v>
      </c>
      <c r="AF26" s="25" t="s">
        <v>11</v>
      </c>
      <c r="AG26" s="115"/>
      <c r="AH26" s="115"/>
      <c r="AI26" s="19">
        <f t="shared" si="0"/>
        <v>1</v>
      </c>
    </row>
    <row r="27" spans="1:35" ht="15.75" customHeight="1" x14ac:dyDescent="0.25">
      <c r="A27" s="141" t="s">
        <v>31</v>
      </c>
      <c r="B27" s="142"/>
      <c r="C27" s="143"/>
      <c r="D27" s="72" t="s">
        <v>9</v>
      </c>
      <c r="E27" s="72" t="s">
        <v>8</v>
      </c>
      <c r="F27" s="72" t="s">
        <v>9</v>
      </c>
      <c r="G27" s="72" t="s">
        <v>8</v>
      </c>
      <c r="H27" s="72" t="s">
        <v>9</v>
      </c>
      <c r="I27" s="72" t="s">
        <v>9</v>
      </c>
      <c r="J27" s="72" t="s">
        <v>9</v>
      </c>
      <c r="K27" s="72" t="s">
        <v>9</v>
      </c>
      <c r="L27" s="72" t="s">
        <v>9</v>
      </c>
      <c r="M27" s="72" t="s">
        <v>8</v>
      </c>
      <c r="N27" s="72" t="s">
        <v>8</v>
      </c>
      <c r="O27" s="72" t="s">
        <v>9</v>
      </c>
      <c r="P27" s="72" t="s">
        <v>8</v>
      </c>
      <c r="Q27" s="72" t="s">
        <v>8</v>
      </c>
      <c r="R27" s="72" t="s">
        <v>8</v>
      </c>
      <c r="S27" s="72" t="s">
        <v>9</v>
      </c>
      <c r="T27" s="72" t="s">
        <v>8</v>
      </c>
      <c r="U27" s="72" t="s">
        <v>8</v>
      </c>
      <c r="V27" s="72" t="s">
        <v>8</v>
      </c>
      <c r="W27" s="72" t="s">
        <v>8</v>
      </c>
      <c r="X27" s="72" t="s">
        <v>8</v>
      </c>
      <c r="Y27" s="72" t="s">
        <v>9</v>
      </c>
      <c r="Z27" s="72" t="s">
        <v>9</v>
      </c>
      <c r="AA27" s="126" t="s">
        <v>8</v>
      </c>
      <c r="AB27" s="72" t="s">
        <v>9</v>
      </c>
      <c r="AC27" s="72" t="s">
        <v>9</v>
      </c>
      <c r="AD27" s="72" t="s">
        <v>9</v>
      </c>
      <c r="AE27" s="72" t="s">
        <v>9</v>
      </c>
      <c r="AF27" s="72" t="s">
        <v>8</v>
      </c>
      <c r="AG27" s="107"/>
      <c r="AH27" s="107"/>
      <c r="AI27" s="13">
        <f t="shared" si="0"/>
        <v>1</v>
      </c>
    </row>
    <row r="28" spans="1:35" ht="15.75" customHeight="1" x14ac:dyDescent="0.25">
      <c r="A28" s="156" t="s">
        <v>32</v>
      </c>
      <c r="B28" s="157"/>
      <c r="C28" s="158"/>
      <c r="D28" s="28">
        <v>1.76</v>
      </c>
      <c r="E28" s="82" t="s">
        <v>128</v>
      </c>
      <c r="F28" s="82" t="s">
        <v>129</v>
      </c>
      <c r="G28" s="82" t="s">
        <v>124</v>
      </c>
      <c r="H28" s="82">
        <v>2</v>
      </c>
      <c r="I28" s="82">
        <v>2</v>
      </c>
      <c r="J28" s="82">
        <v>2</v>
      </c>
      <c r="K28" s="82">
        <v>2</v>
      </c>
      <c r="L28" s="82" t="s">
        <v>129</v>
      </c>
      <c r="M28" s="82" t="s">
        <v>129</v>
      </c>
      <c r="N28" s="82" t="s">
        <v>124</v>
      </c>
      <c r="O28" s="28">
        <v>2</v>
      </c>
      <c r="P28" s="134" t="s">
        <v>133</v>
      </c>
      <c r="Q28" s="28">
        <v>3</v>
      </c>
      <c r="R28" s="28">
        <v>2.5</v>
      </c>
      <c r="S28" s="28">
        <v>2</v>
      </c>
      <c r="T28" s="28" t="s">
        <v>129</v>
      </c>
      <c r="U28" s="28" t="s">
        <v>124</v>
      </c>
      <c r="V28" s="28">
        <v>2</v>
      </c>
      <c r="W28" s="28">
        <v>2</v>
      </c>
      <c r="X28" s="28">
        <v>2</v>
      </c>
      <c r="Y28" s="28">
        <v>2</v>
      </c>
      <c r="Z28" s="28">
        <v>3</v>
      </c>
      <c r="AA28" s="28" t="s">
        <v>135</v>
      </c>
      <c r="AB28" s="28" t="s">
        <v>124</v>
      </c>
      <c r="AC28" s="28">
        <v>2</v>
      </c>
      <c r="AD28" s="28">
        <v>2</v>
      </c>
      <c r="AE28" s="28">
        <v>2</v>
      </c>
      <c r="AF28" s="28">
        <v>2</v>
      </c>
      <c r="AG28" s="116"/>
      <c r="AH28" s="116"/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53" t="s">
        <v>99</v>
      </c>
      <c r="B29" s="154"/>
      <c r="C29" s="155"/>
      <c r="D29" s="29">
        <v>0</v>
      </c>
      <c r="E29" s="29">
        <v>0</v>
      </c>
      <c r="F29" s="29" t="s">
        <v>130</v>
      </c>
      <c r="G29" s="29" t="s">
        <v>131</v>
      </c>
      <c r="H29" s="29">
        <v>0</v>
      </c>
      <c r="I29" s="29">
        <v>0</v>
      </c>
      <c r="J29" s="29">
        <v>0</v>
      </c>
      <c r="K29" s="29">
        <v>0</v>
      </c>
      <c r="L29" s="29">
        <v>2.2000000000000002</v>
      </c>
      <c r="M29" s="29">
        <v>23.2</v>
      </c>
      <c r="N29" s="29">
        <v>5</v>
      </c>
      <c r="O29" s="83">
        <v>0</v>
      </c>
      <c r="P29" s="29">
        <v>0</v>
      </c>
      <c r="Q29" s="29">
        <v>0</v>
      </c>
      <c r="R29" s="29">
        <v>0</v>
      </c>
      <c r="S29" s="29">
        <v>0</v>
      </c>
      <c r="T29" s="83">
        <v>3.6</v>
      </c>
      <c r="U29" s="83">
        <v>6.6</v>
      </c>
      <c r="V29" s="83" t="s">
        <v>134</v>
      </c>
      <c r="W29" s="83">
        <v>0</v>
      </c>
      <c r="X29" s="83">
        <v>0</v>
      </c>
      <c r="Y29" s="83">
        <v>5.9</v>
      </c>
      <c r="Z29" s="83">
        <v>3</v>
      </c>
      <c r="AA29" s="91" t="s">
        <v>137</v>
      </c>
      <c r="AB29" s="83" t="s">
        <v>136</v>
      </c>
      <c r="AC29" s="83" t="s">
        <v>138</v>
      </c>
      <c r="AD29" s="83">
        <v>0</v>
      </c>
      <c r="AE29" s="83" t="s">
        <v>139</v>
      </c>
      <c r="AF29" s="83" t="s">
        <v>140</v>
      </c>
      <c r="AG29" s="117"/>
      <c r="AH29" s="117"/>
      <c r="AI29" s="19">
        <f>IF(COUNTA(D29:AH29)&gt;0,(COUNTA(D29:AH29)-COUNTIF(D29:AH29,"NB")-COUNTIF(D29:AH29,"DN")-COUNTIF(D29:AH29,"An")-COUNTIF(D29:AH29,"NB^")-COUNTIF(D29:AH29,0))/COUNTA(D29:AH29),"")</f>
        <v>0.51724137931034486</v>
      </c>
    </row>
    <row r="30" spans="1:35" ht="15.75" customHeight="1" x14ac:dyDescent="0.25">
      <c r="A30" s="165" t="s">
        <v>33</v>
      </c>
      <c r="B30" s="166"/>
      <c r="C30" s="167"/>
      <c r="D30" s="84" t="s">
        <v>9</v>
      </c>
      <c r="E30" s="84" t="s">
        <v>8</v>
      </c>
      <c r="F30" s="84" t="s">
        <v>9</v>
      </c>
      <c r="G30" s="84" t="s">
        <v>8</v>
      </c>
      <c r="H30" s="84" t="s">
        <v>9</v>
      </c>
      <c r="I30" s="84" t="s">
        <v>9</v>
      </c>
      <c r="J30" s="84" t="s">
        <v>9</v>
      </c>
      <c r="K30" s="84" t="s">
        <v>9</v>
      </c>
      <c r="L30" s="84" t="s">
        <v>9</v>
      </c>
      <c r="M30" s="84" t="s">
        <v>8</v>
      </c>
      <c r="N30" s="84" t="s">
        <v>8</v>
      </c>
      <c r="O30" s="84" t="s">
        <v>9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8</v>
      </c>
      <c r="U30" s="84" t="s">
        <v>8</v>
      </c>
      <c r="V30" s="84" t="s">
        <v>8</v>
      </c>
      <c r="W30" s="84" t="s">
        <v>8</v>
      </c>
      <c r="X30" s="84" t="s">
        <v>8</v>
      </c>
      <c r="Y30" s="84" t="s">
        <v>9</v>
      </c>
      <c r="Z30" s="84" t="s">
        <v>9</v>
      </c>
      <c r="AA30" s="127" t="s">
        <v>8</v>
      </c>
      <c r="AB30" s="84" t="s">
        <v>9</v>
      </c>
      <c r="AC30" s="84" t="s">
        <v>9</v>
      </c>
      <c r="AD30" s="84" t="s">
        <v>9</v>
      </c>
      <c r="AE30" s="84" t="s">
        <v>9</v>
      </c>
      <c r="AF30" s="84" t="s">
        <v>8</v>
      </c>
      <c r="AG30" s="114"/>
      <c r="AH30" s="114"/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41" t="s">
        <v>34</v>
      </c>
      <c r="B31" s="142"/>
      <c r="C31" s="143"/>
      <c r="D31" s="72" t="s">
        <v>9</v>
      </c>
      <c r="E31" s="72" t="s">
        <v>9</v>
      </c>
      <c r="F31" s="72" t="s">
        <v>9</v>
      </c>
      <c r="G31" s="72" t="s">
        <v>8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8</v>
      </c>
      <c r="N31" s="72" t="s">
        <v>8</v>
      </c>
      <c r="O31" s="72" t="s">
        <v>9</v>
      </c>
      <c r="P31" s="72" t="s">
        <v>8</v>
      </c>
      <c r="Q31" s="72" t="s">
        <v>8</v>
      </c>
      <c r="R31" s="72" t="s">
        <v>8</v>
      </c>
      <c r="S31" s="72" t="s">
        <v>9</v>
      </c>
      <c r="T31" s="72" t="s">
        <v>8</v>
      </c>
      <c r="U31" s="72" t="s">
        <v>8</v>
      </c>
      <c r="V31" s="72" t="s">
        <v>8</v>
      </c>
      <c r="W31" s="72" t="s">
        <v>8</v>
      </c>
      <c r="X31" s="72" t="s">
        <v>8</v>
      </c>
      <c r="Y31" s="72" t="s">
        <v>9</v>
      </c>
      <c r="Z31" s="72" t="s">
        <v>9</v>
      </c>
      <c r="AA31" s="126" t="s">
        <v>8</v>
      </c>
      <c r="AB31" s="72" t="s">
        <v>9</v>
      </c>
      <c r="AC31" s="72" t="s">
        <v>9</v>
      </c>
      <c r="AD31" s="72" t="s">
        <v>9</v>
      </c>
      <c r="AE31" s="72" t="s">
        <v>9</v>
      </c>
      <c r="AF31" s="72" t="s">
        <v>8</v>
      </c>
      <c r="AG31" s="107"/>
      <c r="AH31" s="107"/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8" t="s">
        <v>35</v>
      </c>
      <c r="B32" s="169"/>
      <c r="C32" s="170"/>
      <c r="D32" s="85" t="s">
        <v>9</v>
      </c>
      <c r="E32" s="85" t="s">
        <v>9</v>
      </c>
      <c r="F32" s="85" t="s">
        <v>9</v>
      </c>
      <c r="G32" s="85" t="s">
        <v>8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8</v>
      </c>
      <c r="N32" s="85" t="s">
        <v>8</v>
      </c>
      <c r="O32" s="85" t="s">
        <v>9</v>
      </c>
      <c r="P32" s="85" t="s">
        <v>8</v>
      </c>
      <c r="Q32" s="85" t="s">
        <v>8</v>
      </c>
      <c r="R32" s="85" t="s">
        <v>8</v>
      </c>
      <c r="S32" s="85" t="s">
        <v>9</v>
      </c>
      <c r="T32" s="85" t="s">
        <v>8</v>
      </c>
      <c r="U32" s="85" t="s">
        <v>8</v>
      </c>
      <c r="V32" s="85" t="s">
        <v>8</v>
      </c>
      <c r="W32" s="85" t="s">
        <v>8</v>
      </c>
      <c r="X32" s="85" t="s">
        <v>8</v>
      </c>
      <c r="Y32" s="85" t="s">
        <v>9</v>
      </c>
      <c r="Z32" s="85" t="s">
        <v>9</v>
      </c>
      <c r="AA32" s="128" t="s">
        <v>8</v>
      </c>
      <c r="AB32" s="85" t="s">
        <v>9</v>
      </c>
      <c r="AC32" s="85" t="s">
        <v>9</v>
      </c>
      <c r="AD32" s="85" t="s">
        <v>9</v>
      </c>
      <c r="AE32" s="85" t="s">
        <v>9</v>
      </c>
      <c r="AF32" s="85" t="s">
        <v>8</v>
      </c>
      <c r="AG32" s="108"/>
      <c r="AH32" s="108"/>
      <c r="AI32" s="17">
        <f t="shared" si="0"/>
        <v>1</v>
      </c>
    </row>
    <row r="33" spans="1:44" ht="15.75" customHeight="1" x14ac:dyDescent="0.25">
      <c r="A33" s="144" t="s">
        <v>36</v>
      </c>
      <c r="B33" s="145"/>
      <c r="C33" s="146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10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81" t="s">
        <v>11</v>
      </c>
      <c r="AG33" s="114"/>
      <c r="AH33" s="114"/>
      <c r="AI33" s="19">
        <f t="shared" si="0"/>
        <v>1</v>
      </c>
    </row>
    <row r="34" spans="1:44" ht="15.75" customHeight="1" x14ac:dyDescent="0.25">
      <c r="A34" s="144" t="s">
        <v>95</v>
      </c>
      <c r="B34" s="145"/>
      <c r="C34" s="146"/>
      <c r="D34" s="81" t="s">
        <v>11</v>
      </c>
      <c r="E34" s="81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25" t="s">
        <v>11</v>
      </c>
      <c r="K34" s="25" t="s">
        <v>11</v>
      </c>
      <c r="L34" s="25" t="s">
        <v>22</v>
      </c>
      <c r="M34" s="25" t="s">
        <v>11</v>
      </c>
      <c r="N34" s="25" t="s">
        <v>11</v>
      </c>
      <c r="O34" s="25" t="s">
        <v>11</v>
      </c>
      <c r="P34" s="25" t="s">
        <v>11</v>
      </c>
      <c r="Q34" s="25" t="s">
        <v>11</v>
      </c>
      <c r="R34" s="25" t="s">
        <v>11</v>
      </c>
      <c r="S34" s="25" t="s">
        <v>11</v>
      </c>
      <c r="T34" s="81" t="s">
        <v>11</v>
      </c>
      <c r="U34" s="81" t="s">
        <v>11</v>
      </c>
      <c r="V34" s="81" t="s">
        <v>11</v>
      </c>
      <c r="W34" s="81" t="s">
        <v>11</v>
      </c>
      <c r="X34" s="81" t="s">
        <v>11</v>
      </c>
      <c r="Y34" s="81" t="s">
        <v>11</v>
      </c>
      <c r="Z34" s="81" t="s">
        <v>11</v>
      </c>
      <c r="AA34" s="24" t="s">
        <v>11</v>
      </c>
      <c r="AB34" s="81" t="s">
        <v>11</v>
      </c>
      <c r="AC34" s="81" t="s">
        <v>11</v>
      </c>
      <c r="AD34" s="81" t="s">
        <v>11</v>
      </c>
      <c r="AE34" s="81" t="s">
        <v>11</v>
      </c>
      <c r="AF34" s="81" t="s">
        <v>11</v>
      </c>
      <c r="AG34" s="115"/>
      <c r="AH34" s="115"/>
      <c r="AI34" s="19">
        <f t="shared" si="0"/>
        <v>1</v>
      </c>
    </row>
    <row r="35" spans="1:44" ht="15.75" customHeight="1" thickBot="1" x14ac:dyDescent="0.3">
      <c r="A35" s="171" t="s">
        <v>96</v>
      </c>
      <c r="B35" s="172"/>
      <c r="C35" s="173"/>
      <c r="D35" s="95" t="s">
        <v>11</v>
      </c>
      <c r="E35" s="95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7" t="s">
        <v>11</v>
      </c>
      <c r="K35" s="97" t="s">
        <v>11</v>
      </c>
      <c r="L35" s="97" t="s">
        <v>22</v>
      </c>
      <c r="M35" s="97" t="s">
        <v>11</v>
      </c>
      <c r="N35" s="97" t="s">
        <v>11</v>
      </c>
      <c r="O35" s="97" t="s">
        <v>11</v>
      </c>
      <c r="P35" s="97" t="s">
        <v>11</v>
      </c>
      <c r="Q35" s="97" t="s">
        <v>11</v>
      </c>
      <c r="R35" s="97" t="s">
        <v>11</v>
      </c>
      <c r="S35" s="97" t="s">
        <v>11</v>
      </c>
      <c r="T35" s="95" t="s">
        <v>11</v>
      </c>
      <c r="U35" s="95" t="s">
        <v>11</v>
      </c>
      <c r="V35" s="95" t="s">
        <v>11</v>
      </c>
      <c r="W35" s="95" t="s">
        <v>11</v>
      </c>
      <c r="X35" s="95" t="s">
        <v>11</v>
      </c>
      <c r="Y35" s="95" t="s">
        <v>11</v>
      </c>
      <c r="Z35" s="95" t="s">
        <v>11</v>
      </c>
      <c r="AA35" s="96" t="s">
        <v>11</v>
      </c>
      <c r="AB35" s="95" t="s">
        <v>11</v>
      </c>
      <c r="AC35" s="95" t="s">
        <v>11</v>
      </c>
      <c r="AD35" s="95" t="s">
        <v>11</v>
      </c>
      <c r="AE35" s="95" t="s">
        <v>11</v>
      </c>
      <c r="AF35" s="95" t="s">
        <v>11</v>
      </c>
      <c r="AG35" s="118"/>
      <c r="AH35" s="118"/>
      <c r="AI35" s="98">
        <f t="shared" si="0"/>
        <v>1</v>
      </c>
    </row>
    <row r="36" spans="1:44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93"/>
      <c r="AB36" s="76"/>
      <c r="AC36" s="76"/>
      <c r="AD36" s="76"/>
      <c r="AE36" s="76"/>
      <c r="AF36" s="76"/>
      <c r="AG36" s="119"/>
      <c r="AH36" s="120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121"/>
      <c r="AH37" s="122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/>
      </c>
      <c r="AE38" s="37" t="str">
        <f>IF(AND(AE5&gt;0,COUNTA(AE6:AE37)&gt;0,COUNTA(AE6:AE37)-COUNTIF(AE6:AE37,"NB")-COUNTIF(AE30:AE31, "0")=COUNTA(AE6:AE37)),"AB","")</f>
        <v>AB</v>
      </c>
      <c r="AF38" s="37" t="str">
        <f>IF(AND(AF5&gt;0,COUNTA(AF6:AF37)&gt;0,COUNTA(AF6:AF37)-COUNTIF(AF6:AF37,"NB")-COUNTIF(AF30:AF31, "0")=COUNTA(AF6:AF37)),"AB","")</f>
        <v>AB</v>
      </c>
      <c r="AG38" s="37" t="str">
        <f>IF(AND(AG5&gt;0,COUNTA(AG6:AG37)&gt;0,COUNTA(AG6:AG37)-COUNTIF(AG6:AG37,"NB")-COUNTIF(AG30:AG31, "0")=COUNTA(AG6:AG37)),"AB","")</f>
        <v/>
      </c>
      <c r="AH38" s="37" t="str">
        <f>IF(AND(AH5&gt;0,COUNTA(AH6:AH37)&gt;0,COUNTA(AH6:AH37)-COUNTIF(AH6:AH37,"NB")-COUNTIF(AH30:AH31, "0")=COUNTA(AH6:AH37)),"AB","")</f>
        <v/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I40" s="104"/>
      <c r="P40" s="104" t="s">
        <v>132</v>
      </c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29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O28:O29 O23:O24 AA6:AA8 AA15:AA22 D36:AH37 AA25:AA35 AG6:AH35">
    <cfRule type="cellIs" priority="160" stopIfTrue="1" operator="equal">
      <formula>"B"</formula>
    </cfRule>
    <cfRule type="cellIs" dxfId="1298" priority="161" stopIfTrue="1" operator="equal">
      <formula>"M"</formula>
    </cfRule>
    <cfRule type="cellIs" dxfId="1297" priority="162" stopIfTrue="1" operator="equal">
      <formula>"NB"</formula>
    </cfRule>
    <cfRule type="cellIs" dxfId="1296" priority="163" stopIfTrue="1" operator="equal">
      <formula>0</formula>
    </cfRule>
  </conditionalFormatting>
  <conditionalFormatting sqref="E6:G6 F18:G21 E27:G32 G25:G26 G9:G14 E23:G24 G22 F7:G8 F33:G35 H18:K35 L23:M26 H6:L14 L18:L22 L27:L35 M9:M14">
    <cfRule type="cellIs" dxfId="1295" priority="157" stopIfTrue="1" operator="equal">
      <formula>"M"</formula>
    </cfRule>
    <cfRule type="cellIs" dxfId="1294" priority="158" stopIfTrue="1" operator="equal">
      <formula>"NB"</formula>
    </cfRule>
    <cfRule type="cellIs" dxfId="1293" priority="159" stopIfTrue="1" operator="equal">
      <formula>"B"</formula>
    </cfRule>
  </conditionalFormatting>
  <conditionalFormatting sqref="E28:L29">
    <cfRule type="cellIs" dxfId="1292" priority="156" operator="equal">
      <formula>0</formula>
    </cfRule>
  </conditionalFormatting>
  <conditionalFormatting sqref="F15:L17">
    <cfRule type="cellIs" priority="152" stopIfTrue="1" operator="equal">
      <formula>"B"</formula>
    </cfRule>
    <cfRule type="cellIs" dxfId="1291" priority="153" stopIfTrue="1" operator="equal">
      <formula>"M"</formula>
    </cfRule>
    <cfRule type="cellIs" dxfId="1290" priority="154" stopIfTrue="1" operator="equal">
      <formula>"NB"</formula>
    </cfRule>
    <cfRule type="cellIs" dxfId="1289" priority="155" stopIfTrue="1" operator="equal">
      <formula>0</formula>
    </cfRule>
  </conditionalFormatting>
  <conditionalFormatting sqref="M6:M8 O25:O27 O30:O35 M18:M22 M27:M35 O18:O22 O6:O14">
    <cfRule type="cellIs" dxfId="1288" priority="141" stopIfTrue="1" operator="equal">
      <formula>"M"</formula>
    </cfRule>
    <cfRule type="cellIs" dxfId="1287" priority="142" stopIfTrue="1" operator="equal">
      <formula>"NB"</formula>
    </cfRule>
    <cfRule type="cellIs" dxfId="1286" priority="143" stopIfTrue="1" operator="equal">
      <formula>"B"</formula>
    </cfRule>
  </conditionalFormatting>
  <conditionalFormatting sqref="M28:M29">
    <cfRule type="cellIs" dxfId="1285" priority="140" operator="equal">
      <formula>0</formula>
    </cfRule>
  </conditionalFormatting>
  <conditionalFormatting sqref="M15:M17 O15:O17">
    <cfRule type="cellIs" priority="136" stopIfTrue="1" operator="equal">
      <formula>"B"</formula>
    </cfRule>
    <cfRule type="cellIs" dxfId="1284" priority="137" stopIfTrue="1" operator="equal">
      <formula>"M"</formula>
    </cfRule>
    <cfRule type="cellIs" dxfId="1283" priority="138" stopIfTrue="1" operator="equal">
      <formula>"NB"</formula>
    </cfRule>
    <cfRule type="cellIs" dxfId="1282" priority="139" stopIfTrue="1" operator="equal">
      <formula>0</formula>
    </cfRule>
  </conditionalFormatting>
  <conditionalFormatting sqref="T6:T8 T27:T35 T15:T21 R22:U22 Q28:S28">
    <cfRule type="cellIs" priority="132" stopIfTrue="1" operator="equal">
      <formula>"B"</formula>
    </cfRule>
    <cfRule type="cellIs" dxfId="1281" priority="133" stopIfTrue="1" operator="equal">
      <formula>"M"</formula>
    </cfRule>
    <cfRule type="cellIs" dxfId="1280" priority="134" stopIfTrue="1" operator="equal">
      <formula>"NB"</formula>
    </cfRule>
    <cfRule type="cellIs" dxfId="1279" priority="135" stopIfTrue="1" operator="equal">
      <formula>0</formula>
    </cfRule>
  </conditionalFormatting>
  <conditionalFormatting sqref="T9:U14">
    <cfRule type="cellIs" dxfId="1278" priority="129" stopIfTrue="1" operator="equal">
      <formula>"M"</formula>
    </cfRule>
    <cfRule type="cellIs" dxfId="1277" priority="130" stopIfTrue="1" operator="equal">
      <formula>"NB"</formula>
    </cfRule>
    <cfRule type="cellIs" dxfId="1276" priority="131" stopIfTrue="1" operator="equal">
      <formula>"B"</formula>
    </cfRule>
  </conditionalFormatting>
  <conditionalFormatting sqref="U6:U8 U15:U21 U23:U24 U27:U35">
    <cfRule type="cellIs" priority="125" stopIfTrue="1" operator="equal">
      <formula>"B"</formula>
    </cfRule>
    <cfRule type="cellIs" dxfId="1275" priority="126" stopIfTrue="1" operator="equal">
      <formula>"M"</formula>
    </cfRule>
    <cfRule type="cellIs" dxfId="1274" priority="127" stopIfTrue="1" operator="equal">
      <formula>"NB"</formula>
    </cfRule>
    <cfRule type="cellIs" dxfId="1273" priority="128" stopIfTrue="1" operator="equal">
      <formula>0</formula>
    </cfRule>
  </conditionalFormatting>
  <conditionalFormatting sqref="AA23:AA24">
    <cfRule type="cellIs" priority="104" stopIfTrue="1" operator="equal">
      <formula>"B"</formula>
    </cfRule>
    <cfRule type="cellIs" dxfId="1272" priority="105" stopIfTrue="1" operator="equal">
      <formula>"M"</formula>
    </cfRule>
    <cfRule type="cellIs" dxfId="1271" priority="106" stopIfTrue="1" operator="equal">
      <formula>"NB"</formula>
    </cfRule>
    <cfRule type="cellIs" dxfId="1270" priority="107" stopIfTrue="1" operator="equal">
      <formula>0</formula>
    </cfRule>
  </conditionalFormatting>
  <conditionalFormatting sqref="D22:D29 E25:F26 E22:F22">
    <cfRule type="cellIs" dxfId="1269" priority="90" stopIfTrue="1" operator="equal">
      <formula>"M"</formula>
    </cfRule>
    <cfRule type="cellIs" dxfId="1268" priority="91" stopIfTrue="1" operator="equal">
      <formula>"NB"</formula>
    </cfRule>
    <cfRule type="cellIs" dxfId="1267" priority="92" stopIfTrue="1" operator="equal">
      <formula>"B"</formula>
    </cfRule>
  </conditionalFormatting>
  <conditionalFormatting sqref="D28:D29">
    <cfRule type="cellIs" dxfId="1266" priority="89" operator="equal">
      <formula>0</formula>
    </cfRule>
  </conditionalFormatting>
  <conditionalFormatting sqref="D6:D8 D30:D35 E7:E8 D18:E21 E33:E35">
    <cfRule type="cellIs" dxfId="1265" priority="86" stopIfTrue="1" operator="equal">
      <formula>"M"</formula>
    </cfRule>
    <cfRule type="cellIs" dxfId="1264" priority="87" stopIfTrue="1" operator="equal">
      <formula>"NB"</formula>
    </cfRule>
    <cfRule type="cellIs" dxfId="1263" priority="88" stopIfTrue="1" operator="equal">
      <formula>"B"</formula>
    </cfRule>
  </conditionalFormatting>
  <conditionalFormatting sqref="D15:E17">
    <cfRule type="cellIs" priority="82" stopIfTrue="1" operator="equal">
      <formula>"B"</formula>
    </cfRule>
    <cfRule type="cellIs" dxfId="1262" priority="83" stopIfTrue="1" operator="equal">
      <formula>"M"</formula>
    </cfRule>
    <cfRule type="cellIs" dxfId="1261" priority="84" stopIfTrue="1" operator="equal">
      <formula>"NB"</formula>
    </cfRule>
    <cfRule type="cellIs" dxfId="1260" priority="85" stopIfTrue="1" operator="equal">
      <formula>0</formula>
    </cfRule>
  </conditionalFormatting>
  <conditionalFormatting sqref="D9:F14">
    <cfRule type="cellIs" dxfId="1259" priority="79" stopIfTrue="1" operator="equal">
      <formula>"B"</formula>
    </cfRule>
    <cfRule type="cellIs" dxfId="1258" priority="80" stopIfTrue="1" operator="equal">
      <formula>"M"</formula>
    </cfRule>
    <cfRule type="cellIs" dxfId="1257" priority="81" stopIfTrue="1" operator="between">
      <formula>"NB"</formula>
      <formula>"NB^"</formula>
    </cfRule>
  </conditionalFormatting>
  <conditionalFormatting sqref="N23:N26 N9:N14">
    <cfRule type="cellIs" dxfId="1256" priority="76" stopIfTrue="1" operator="equal">
      <formula>"M"</formula>
    </cfRule>
    <cfRule type="cellIs" dxfId="1255" priority="77" stopIfTrue="1" operator="equal">
      <formula>"NB"</formula>
    </cfRule>
    <cfRule type="cellIs" dxfId="1254" priority="78" stopIfTrue="1" operator="equal">
      <formula>"B"</formula>
    </cfRule>
  </conditionalFormatting>
  <conditionalFormatting sqref="N6:N8 N18:N22 N27:N35">
    <cfRule type="cellIs" dxfId="1253" priority="73" stopIfTrue="1" operator="equal">
      <formula>"M"</formula>
    </cfRule>
    <cfRule type="cellIs" dxfId="1252" priority="74" stopIfTrue="1" operator="equal">
      <formula>"NB"</formula>
    </cfRule>
    <cfRule type="cellIs" dxfId="1251" priority="75" stopIfTrue="1" operator="equal">
      <formula>"B"</formula>
    </cfRule>
  </conditionalFormatting>
  <conditionalFormatting sqref="N28:N29">
    <cfRule type="cellIs" dxfId="1250" priority="72" operator="equal">
      <formula>0</formula>
    </cfRule>
  </conditionalFormatting>
  <conditionalFormatting sqref="N15:N17">
    <cfRule type="cellIs" priority="68" stopIfTrue="1" operator="equal">
      <formula>"B"</formula>
    </cfRule>
    <cfRule type="cellIs" dxfId="1249" priority="69" stopIfTrue="1" operator="equal">
      <formula>"M"</formula>
    </cfRule>
    <cfRule type="cellIs" dxfId="1248" priority="70" stopIfTrue="1" operator="equal">
      <formula>"NB"</formula>
    </cfRule>
    <cfRule type="cellIs" dxfId="1247" priority="71" stopIfTrue="1" operator="equal">
      <formula>0</formula>
    </cfRule>
  </conditionalFormatting>
  <conditionalFormatting sqref="T23:T24 T25:U26 P23:S26 P9:S14">
    <cfRule type="cellIs" dxfId="1246" priority="65" stopIfTrue="1" operator="equal">
      <formula>"M"</formula>
    </cfRule>
    <cfRule type="cellIs" dxfId="1245" priority="66" stopIfTrue="1" operator="equal">
      <formula>"NB"</formula>
    </cfRule>
    <cfRule type="cellIs" dxfId="1244" priority="67" stopIfTrue="1" operator="equal">
      <formula>"B"</formula>
    </cfRule>
  </conditionalFormatting>
  <conditionalFormatting sqref="P18:Q22 P28 P6:S8 R18:S21 P27:S27 P29:S35">
    <cfRule type="cellIs" dxfId="1243" priority="62" stopIfTrue="1" operator="equal">
      <formula>"M"</formula>
    </cfRule>
    <cfRule type="cellIs" dxfId="1242" priority="63" stopIfTrue="1" operator="equal">
      <formula>"NB"</formula>
    </cfRule>
    <cfRule type="cellIs" dxfId="1241" priority="64" stopIfTrue="1" operator="equal">
      <formula>"B"</formula>
    </cfRule>
  </conditionalFormatting>
  <conditionalFormatting sqref="P28 P29:S29">
    <cfRule type="cellIs" dxfId="1240" priority="61" operator="equal">
      <formula>0</formula>
    </cfRule>
  </conditionalFormatting>
  <conditionalFormatting sqref="P15:S17">
    <cfRule type="cellIs" priority="57" stopIfTrue="1" operator="equal">
      <formula>"B"</formula>
    </cfRule>
    <cfRule type="cellIs" dxfId="1239" priority="58" stopIfTrue="1" operator="equal">
      <formula>"M"</formula>
    </cfRule>
    <cfRule type="cellIs" dxfId="1238" priority="59" stopIfTrue="1" operator="equal">
      <formula>"NB"</formula>
    </cfRule>
    <cfRule type="cellIs" dxfId="1237" priority="60" stopIfTrue="1" operator="equal">
      <formula>0</formula>
    </cfRule>
  </conditionalFormatting>
  <conditionalFormatting sqref="V22:Z22">
    <cfRule type="cellIs" priority="53" stopIfTrue="1" operator="equal">
      <formula>"B"</formula>
    </cfRule>
    <cfRule type="cellIs" dxfId="1236" priority="54" stopIfTrue="1" operator="equal">
      <formula>"M"</formula>
    </cfRule>
    <cfRule type="cellIs" dxfId="1235" priority="55" stopIfTrue="1" operator="equal">
      <formula>"NB"</formula>
    </cfRule>
    <cfRule type="cellIs" dxfId="1234" priority="56" stopIfTrue="1" operator="equal">
      <formula>0</formula>
    </cfRule>
  </conditionalFormatting>
  <conditionalFormatting sqref="V9:AA14">
    <cfRule type="cellIs" dxfId="1233" priority="50" stopIfTrue="1" operator="equal">
      <formula>"M"</formula>
    </cfRule>
    <cfRule type="cellIs" dxfId="1232" priority="51" stopIfTrue="1" operator="equal">
      <formula>"NB"</formula>
    </cfRule>
    <cfRule type="cellIs" dxfId="1231" priority="52" stopIfTrue="1" operator="equal">
      <formula>"B"</formula>
    </cfRule>
  </conditionalFormatting>
  <conditionalFormatting sqref="V6:Z8 V15:Z21 V23:Z24 V27:Z35">
    <cfRule type="cellIs" priority="46" stopIfTrue="1" operator="equal">
      <formula>"B"</formula>
    </cfRule>
    <cfRule type="cellIs" dxfId="1230" priority="47" stopIfTrue="1" operator="equal">
      <formula>"M"</formula>
    </cfRule>
    <cfRule type="cellIs" dxfId="1229" priority="48" stopIfTrue="1" operator="equal">
      <formula>"NB"</formula>
    </cfRule>
    <cfRule type="cellIs" dxfId="1228" priority="49" stopIfTrue="1" operator="equal">
      <formula>0</formula>
    </cfRule>
  </conditionalFormatting>
  <conditionalFormatting sqref="V25:Z26">
    <cfRule type="cellIs" dxfId="1227" priority="43" stopIfTrue="1" operator="equal">
      <formula>"M"</formula>
    </cfRule>
    <cfRule type="cellIs" dxfId="1226" priority="44" stopIfTrue="1" operator="equal">
      <formula>"NB"</formula>
    </cfRule>
    <cfRule type="cellIs" dxfId="1225" priority="45" stopIfTrue="1" operator="equal">
      <formula>"B"</formula>
    </cfRule>
  </conditionalFormatting>
  <conditionalFormatting sqref="AB22">
    <cfRule type="cellIs" priority="39" stopIfTrue="1" operator="equal">
      <formula>"B"</formula>
    </cfRule>
    <cfRule type="cellIs" dxfId="1224" priority="40" stopIfTrue="1" operator="equal">
      <formula>"M"</formula>
    </cfRule>
    <cfRule type="cellIs" dxfId="1223" priority="41" stopIfTrue="1" operator="equal">
      <formula>"NB"</formula>
    </cfRule>
    <cfRule type="cellIs" dxfId="1222" priority="42" stopIfTrue="1" operator="equal">
      <formula>0</formula>
    </cfRule>
  </conditionalFormatting>
  <conditionalFormatting sqref="AB9:AE14">
    <cfRule type="cellIs" dxfId="1221" priority="36" stopIfTrue="1" operator="equal">
      <formula>"M"</formula>
    </cfRule>
    <cfRule type="cellIs" dxfId="1220" priority="37" stopIfTrue="1" operator="equal">
      <formula>"NB"</formula>
    </cfRule>
    <cfRule type="cellIs" dxfId="1219" priority="38" stopIfTrue="1" operator="equal">
      <formula>"B"</formula>
    </cfRule>
  </conditionalFormatting>
  <conditionalFormatting sqref="AB6:AB8 AB15:AB21 AB23:AB24 AB27:AB35">
    <cfRule type="cellIs" priority="32" stopIfTrue="1" operator="equal">
      <formula>"B"</formula>
    </cfRule>
    <cfRule type="cellIs" dxfId="1218" priority="33" stopIfTrue="1" operator="equal">
      <formula>"M"</formula>
    </cfRule>
    <cfRule type="cellIs" dxfId="1217" priority="34" stopIfTrue="1" operator="equal">
      <formula>"NB"</formula>
    </cfRule>
    <cfRule type="cellIs" dxfId="1216" priority="35" stopIfTrue="1" operator="equal">
      <formula>0</formula>
    </cfRule>
  </conditionalFormatting>
  <conditionalFormatting sqref="AB25:AB26">
    <cfRule type="cellIs" dxfId="1215" priority="29" stopIfTrue="1" operator="equal">
      <formula>"M"</formula>
    </cfRule>
    <cfRule type="cellIs" dxfId="1214" priority="30" stopIfTrue="1" operator="equal">
      <formula>"NB"</formula>
    </cfRule>
    <cfRule type="cellIs" dxfId="1213" priority="31" stopIfTrue="1" operator="equal">
      <formula>"B"</formula>
    </cfRule>
  </conditionalFormatting>
  <conditionalFormatting sqref="AC22:AE22">
    <cfRule type="cellIs" priority="25" stopIfTrue="1" operator="equal">
      <formula>"B"</formula>
    </cfRule>
    <cfRule type="cellIs" dxfId="1212" priority="26" stopIfTrue="1" operator="equal">
      <formula>"M"</formula>
    </cfRule>
    <cfRule type="cellIs" dxfId="1211" priority="27" stopIfTrue="1" operator="equal">
      <formula>"NB"</formula>
    </cfRule>
    <cfRule type="cellIs" dxfId="1210" priority="28" stopIfTrue="1" operator="equal">
      <formula>0</formula>
    </cfRule>
  </conditionalFormatting>
  <conditionalFormatting sqref="AC6:AE8 AC15:AE21 AC23:AE24 AC27:AE35">
    <cfRule type="cellIs" priority="18" stopIfTrue="1" operator="equal">
      <formula>"B"</formula>
    </cfRule>
    <cfRule type="cellIs" dxfId="1209" priority="19" stopIfTrue="1" operator="equal">
      <formula>"M"</formula>
    </cfRule>
    <cfRule type="cellIs" dxfId="1208" priority="20" stopIfTrue="1" operator="equal">
      <formula>"NB"</formula>
    </cfRule>
    <cfRule type="cellIs" dxfId="1207" priority="21" stopIfTrue="1" operator="equal">
      <formula>0</formula>
    </cfRule>
  </conditionalFormatting>
  <conditionalFormatting sqref="AC25:AE26">
    <cfRule type="cellIs" dxfId="1206" priority="15" stopIfTrue="1" operator="equal">
      <formula>"M"</formula>
    </cfRule>
    <cfRule type="cellIs" dxfId="1205" priority="16" stopIfTrue="1" operator="equal">
      <formula>"NB"</formula>
    </cfRule>
    <cfRule type="cellIs" dxfId="1204" priority="17" stopIfTrue="1" operator="equal">
      <formula>"B"</formula>
    </cfRule>
  </conditionalFormatting>
  <conditionalFormatting sqref="AF22">
    <cfRule type="cellIs" priority="11" stopIfTrue="1" operator="equal">
      <formula>"B"</formula>
    </cfRule>
    <cfRule type="cellIs" dxfId="1203" priority="12" stopIfTrue="1" operator="equal">
      <formula>"M"</formula>
    </cfRule>
    <cfRule type="cellIs" dxfId="1202" priority="13" stopIfTrue="1" operator="equal">
      <formula>"NB"</formula>
    </cfRule>
    <cfRule type="cellIs" dxfId="1201" priority="14" stopIfTrue="1" operator="equal">
      <formula>0</formula>
    </cfRule>
  </conditionalFormatting>
  <conditionalFormatting sqref="AF9:AF14">
    <cfRule type="cellIs" dxfId="1200" priority="8" stopIfTrue="1" operator="equal">
      <formula>"M"</formula>
    </cfRule>
    <cfRule type="cellIs" dxfId="1199" priority="9" stopIfTrue="1" operator="equal">
      <formula>"NB"</formula>
    </cfRule>
    <cfRule type="cellIs" dxfId="1198" priority="10" stopIfTrue="1" operator="equal">
      <formula>"B"</formula>
    </cfRule>
  </conditionalFormatting>
  <conditionalFormatting sqref="AF6:AF8 AF15:AF21 AF23:AF24 AF27:AF35">
    <cfRule type="cellIs" priority="4" stopIfTrue="1" operator="equal">
      <formula>"B"</formula>
    </cfRule>
    <cfRule type="cellIs" dxfId="1197" priority="5" stopIfTrue="1" operator="equal">
      <formula>"M"</formula>
    </cfRule>
    <cfRule type="cellIs" dxfId="1196" priority="6" stopIfTrue="1" operator="equal">
      <formula>"NB"</formula>
    </cfRule>
    <cfRule type="cellIs" dxfId="1195" priority="7" stopIfTrue="1" operator="equal">
      <formula>0</formula>
    </cfRule>
  </conditionalFormatting>
  <conditionalFormatting sqref="AF25:AF26">
    <cfRule type="cellIs" dxfId="1194" priority="1" stopIfTrue="1" operator="equal">
      <formula>"M"</formula>
    </cfRule>
    <cfRule type="cellIs" dxfId="1193" priority="2" stopIfTrue="1" operator="equal">
      <formula>"NB"</formula>
    </cfRule>
    <cfRule type="cellIs" dxfId="1192" priority="3" stopIfTrue="1" operator="equal">
      <formula>"B"</formula>
    </cfRule>
  </conditionalFormatting>
  <pageMargins left="0.75" right="0.75" top="1" bottom="1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R59"/>
  <sheetViews>
    <sheetView zoomScale="80" zoomScaleNormal="80" zoomScalePageLayoutView="90" workbookViewId="0">
      <selection activeCell="A29" sqref="A29:C29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104</v>
      </c>
    </row>
    <row r="4" spans="1:44" s="5" customFormat="1" ht="15.75" customHeight="1" thickBot="1" x14ac:dyDescent="0.3">
      <c r="C4" s="6"/>
      <c r="D4" s="5" t="s">
        <v>3</v>
      </c>
      <c r="G4" s="6"/>
      <c r="J4" s="5" t="s">
        <v>3</v>
      </c>
      <c r="K4" s="5" t="s">
        <v>3</v>
      </c>
      <c r="N4" s="6"/>
      <c r="Q4" s="5" t="s">
        <v>3</v>
      </c>
      <c r="R4" s="5" t="s">
        <v>3</v>
      </c>
      <c r="X4" s="5" t="s">
        <v>3</v>
      </c>
      <c r="Y4" s="5" t="s">
        <v>3</v>
      </c>
      <c r="AE4" s="5" t="s">
        <v>3</v>
      </c>
      <c r="AF4" s="5" t="s">
        <v>3</v>
      </c>
      <c r="AH4" s="5" t="s">
        <v>4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8</v>
      </c>
      <c r="E6" s="72" t="s">
        <v>9</v>
      </c>
      <c r="F6" s="72" t="s">
        <v>8</v>
      </c>
      <c r="G6" s="72" t="s">
        <v>9</v>
      </c>
      <c r="H6" s="72" t="s">
        <v>8</v>
      </c>
      <c r="I6" s="72" t="s">
        <v>8</v>
      </c>
      <c r="J6" s="72" t="s">
        <v>8</v>
      </c>
      <c r="K6" s="72" t="s">
        <v>8</v>
      </c>
      <c r="L6" s="72" t="s">
        <v>8</v>
      </c>
      <c r="M6" s="72" t="s">
        <v>8</v>
      </c>
      <c r="N6" s="72" t="s">
        <v>8</v>
      </c>
      <c r="O6" s="72" t="s">
        <v>8</v>
      </c>
      <c r="P6" s="72" t="s">
        <v>8</v>
      </c>
      <c r="Q6" s="72" t="s">
        <v>8</v>
      </c>
      <c r="R6" s="72" t="s">
        <v>8</v>
      </c>
      <c r="S6" s="72" t="s">
        <v>8</v>
      </c>
      <c r="T6" s="72" t="s">
        <v>8</v>
      </c>
      <c r="U6" s="72" t="s">
        <v>8</v>
      </c>
      <c r="V6" s="72" t="s">
        <v>8</v>
      </c>
      <c r="W6" s="72" t="s">
        <v>8</v>
      </c>
      <c r="X6" s="72" t="s">
        <v>8</v>
      </c>
      <c r="Y6" s="72" t="s">
        <v>8</v>
      </c>
      <c r="Z6" s="72" t="s">
        <v>8</v>
      </c>
      <c r="AA6" s="72" t="s">
        <v>8</v>
      </c>
      <c r="AB6" s="72" t="s">
        <v>8</v>
      </c>
      <c r="AC6" s="72" t="s">
        <v>8</v>
      </c>
      <c r="AD6" s="72" t="s">
        <v>8</v>
      </c>
      <c r="AE6" s="72" t="s">
        <v>8</v>
      </c>
      <c r="AF6" s="72" t="s">
        <v>8</v>
      </c>
      <c r="AG6" s="72" t="s">
        <v>8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38" t="s">
        <v>10</v>
      </c>
      <c r="B7" s="139"/>
      <c r="C7" s="14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73" t="s">
        <v>11</v>
      </c>
      <c r="AG7" s="14" t="s">
        <v>11</v>
      </c>
      <c r="AH7" s="14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44" t="s">
        <v>93</v>
      </c>
      <c r="B8" s="145"/>
      <c r="C8" s="146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47" t="s">
        <v>13</v>
      </c>
      <c r="B9" s="148"/>
      <c r="C9" s="149"/>
      <c r="D9" s="79" t="s">
        <v>11</v>
      </c>
      <c r="E9" s="79" t="s">
        <v>12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79" t="s">
        <v>11</v>
      </c>
      <c r="AG9" s="20" t="s">
        <v>11</v>
      </c>
      <c r="AH9" s="20" t="s">
        <v>11</v>
      </c>
      <c r="AI9" s="13">
        <f t="shared" si="0"/>
        <v>0.967741935483871</v>
      </c>
    </row>
    <row r="10" spans="1:44" ht="15.75" customHeight="1" x14ac:dyDescent="0.25">
      <c r="A10" s="150" t="s">
        <v>14</v>
      </c>
      <c r="B10" s="151"/>
      <c r="C10" s="152"/>
      <c r="D10" s="80" t="s">
        <v>11</v>
      </c>
      <c r="E10" s="80" t="s">
        <v>12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80" t="s">
        <v>11</v>
      </c>
      <c r="AG10" s="16" t="s">
        <v>11</v>
      </c>
      <c r="AH10" s="16" t="s">
        <v>11</v>
      </c>
      <c r="AI10" s="21">
        <f t="shared" si="0"/>
        <v>0.967741935483871</v>
      </c>
    </row>
    <row r="11" spans="1:44" ht="15.75" customHeight="1" x14ac:dyDescent="0.25">
      <c r="A11" s="150" t="s">
        <v>15</v>
      </c>
      <c r="B11" s="151"/>
      <c r="C11" s="152"/>
      <c r="D11" s="80" t="s">
        <v>11</v>
      </c>
      <c r="E11" s="80" t="s">
        <v>12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80" t="s">
        <v>11</v>
      </c>
      <c r="AG11" s="16" t="s">
        <v>11</v>
      </c>
      <c r="AH11" s="16" t="s">
        <v>11</v>
      </c>
      <c r="AI11" s="21">
        <f t="shared" si="0"/>
        <v>0.967741935483871</v>
      </c>
    </row>
    <row r="12" spans="1:44" ht="15.75" customHeight="1" x14ac:dyDescent="0.25">
      <c r="A12" s="150" t="s">
        <v>16</v>
      </c>
      <c r="B12" s="151"/>
      <c r="C12" s="152"/>
      <c r="D12" s="80" t="s">
        <v>11</v>
      </c>
      <c r="E12" s="80" t="s">
        <v>12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80" t="s">
        <v>11</v>
      </c>
      <c r="AG12" s="16" t="s">
        <v>11</v>
      </c>
      <c r="AH12" s="16" t="s">
        <v>11</v>
      </c>
      <c r="AI12" s="21">
        <f t="shared" si="0"/>
        <v>0.967741935483871</v>
      </c>
    </row>
    <row r="13" spans="1:44" ht="15.75" customHeight="1" x14ac:dyDescent="0.25">
      <c r="A13" s="150" t="s">
        <v>17</v>
      </c>
      <c r="B13" s="151"/>
      <c r="C13" s="152"/>
      <c r="D13" s="80" t="s">
        <v>11</v>
      </c>
      <c r="E13" s="80" t="s">
        <v>12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80" t="s">
        <v>11</v>
      </c>
      <c r="AG13" s="16" t="s">
        <v>11</v>
      </c>
      <c r="AH13" s="16" t="s">
        <v>11</v>
      </c>
      <c r="AI13" s="21">
        <f t="shared" si="0"/>
        <v>0.967741935483871</v>
      </c>
    </row>
    <row r="14" spans="1:44" ht="15.75" customHeight="1" x14ac:dyDescent="0.25">
      <c r="A14" s="138" t="s">
        <v>18</v>
      </c>
      <c r="B14" s="139"/>
      <c r="C14" s="140"/>
      <c r="D14" s="73" t="s">
        <v>11</v>
      </c>
      <c r="E14" s="73" t="s">
        <v>12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73" t="s">
        <v>11</v>
      </c>
      <c r="AI14" s="17">
        <f t="shared" si="0"/>
        <v>0.967741935483871</v>
      </c>
    </row>
    <row r="15" spans="1:44" ht="15.75" customHeight="1" x14ac:dyDescent="0.25">
      <c r="A15" s="147" t="s">
        <v>19</v>
      </c>
      <c r="B15" s="148"/>
      <c r="C15" s="149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124" t="s">
        <v>11</v>
      </c>
      <c r="AD15" s="124" t="s">
        <v>11</v>
      </c>
      <c r="AE15" s="124" t="s">
        <v>11</v>
      </c>
      <c r="AF15" s="124" t="s">
        <v>11</v>
      </c>
      <c r="AG15" s="124" t="s">
        <v>11</v>
      </c>
      <c r="AH15" s="124" t="s">
        <v>11</v>
      </c>
      <c r="AI15" s="13">
        <f t="shared" si="0"/>
        <v>1</v>
      </c>
    </row>
    <row r="16" spans="1:44" ht="15.75" customHeight="1" x14ac:dyDescent="0.25">
      <c r="A16" s="150" t="s">
        <v>20</v>
      </c>
      <c r="B16" s="151"/>
      <c r="C16" s="152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23" t="s">
        <v>11</v>
      </c>
      <c r="AD16" s="123" t="s">
        <v>11</v>
      </c>
      <c r="AE16" s="123" t="s">
        <v>11</v>
      </c>
      <c r="AF16" s="123" t="s">
        <v>11</v>
      </c>
      <c r="AG16" s="123" t="s">
        <v>11</v>
      </c>
      <c r="AH16" s="123" t="s">
        <v>11</v>
      </c>
      <c r="AI16" s="21">
        <f t="shared" si="0"/>
        <v>1</v>
      </c>
    </row>
    <row r="17" spans="1:35" ht="15.75" customHeight="1" x14ac:dyDescent="0.25">
      <c r="A17" s="138" t="s">
        <v>92</v>
      </c>
      <c r="B17" s="139"/>
      <c r="C17" s="140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23" t="s">
        <v>11</v>
      </c>
      <c r="AD17" s="123" t="s">
        <v>11</v>
      </c>
      <c r="AE17" s="123" t="s">
        <v>11</v>
      </c>
      <c r="AF17" s="123" t="s">
        <v>11</v>
      </c>
      <c r="AG17" s="123" t="s">
        <v>11</v>
      </c>
      <c r="AH17" s="123" t="s">
        <v>11</v>
      </c>
      <c r="AI17" s="17">
        <f t="shared" si="0"/>
        <v>1</v>
      </c>
    </row>
    <row r="18" spans="1:35" ht="15.75" customHeight="1" x14ac:dyDescent="0.25">
      <c r="A18" s="147" t="s">
        <v>21</v>
      </c>
      <c r="B18" s="148"/>
      <c r="C18" s="149"/>
      <c r="D18" s="124" t="s">
        <v>11</v>
      </c>
      <c r="E18" s="124" t="s">
        <v>11</v>
      </c>
      <c r="F18" s="124" t="s">
        <v>11</v>
      </c>
      <c r="G18" s="124" t="s">
        <v>11</v>
      </c>
      <c r="H18" s="124" t="s">
        <v>11</v>
      </c>
      <c r="I18" s="124" t="s">
        <v>11</v>
      </c>
      <c r="J18" s="124" t="s">
        <v>11</v>
      </c>
      <c r="K18" s="124" t="s">
        <v>11</v>
      </c>
      <c r="L18" s="124" t="s">
        <v>11</v>
      </c>
      <c r="M18" s="124" t="s">
        <v>11</v>
      </c>
      <c r="N18" s="124" t="s">
        <v>11</v>
      </c>
      <c r="O18" s="124" t="s">
        <v>11</v>
      </c>
      <c r="P18" s="124" t="s">
        <v>11</v>
      </c>
      <c r="Q18" s="124" t="s">
        <v>11</v>
      </c>
      <c r="R18" s="124" t="s">
        <v>11</v>
      </c>
      <c r="S18" s="124" t="s">
        <v>11</v>
      </c>
      <c r="T18" s="124" t="s">
        <v>11</v>
      </c>
      <c r="U18" s="124" t="s">
        <v>11</v>
      </c>
      <c r="V18" s="124" t="s">
        <v>11</v>
      </c>
      <c r="W18" s="124" t="s">
        <v>11</v>
      </c>
      <c r="X18" s="124" t="s">
        <v>11</v>
      </c>
      <c r="Y18" s="124" t="s">
        <v>11</v>
      </c>
      <c r="Z18" s="124" t="s">
        <v>11</v>
      </c>
      <c r="AA18" s="124" t="s">
        <v>11</v>
      </c>
      <c r="AB18" s="124" t="s">
        <v>11</v>
      </c>
      <c r="AC18" s="124" t="s">
        <v>11</v>
      </c>
      <c r="AD18" s="124" t="s">
        <v>11</v>
      </c>
      <c r="AE18" s="124" t="s">
        <v>11</v>
      </c>
      <c r="AF18" s="124" t="s">
        <v>11</v>
      </c>
      <c r="AG18" s="79" t="s">
        <v>11</v>
      </c>
      <c r="AH18" s="79" t="s">
        <v>11</v>
      </c>
      <c r="AI18" s="13">
        <f t="shared" si="0"/>
        <v>1</v>
      </c>
    </row>
    <row r="19" spans="1:35" ht="15.75" customHeight="1" x14ac:dyDescent="0.25">
      <c r="A19" s="150" t="s">
        <v>23</v>
      </c>
      <c r="B19" s="151"/>
      <c r="C19" s="152"/>
      <c r="D19" s="123" t="s">
        <v>11</v>
      </c>
      <c r="E19" s="123" t="s">
        <v>11</v>
      </c>
      <c r="F19" s="123" t="s">
        <v>11</v>
      </c>
      <c r="G19" s="123" t="s">
        <v>11</v>
      </c>
      <c r="H19" s="123" t="s">
        <v>11</v>
      </c>
      <c r="I19" s="123" t="s">
        <v>11</v>
      </c>
      <c r="J19" s="123" t="s">
        <v>11</v>
      </c>
      <c r="K19" s="123" t="s">
        <v>11</v>
      </c>
      <c r="L19" s="123" t="s">
        <v>11</v>
      </c>
      <c r="M19" s="123" t="s">
        <v>11</v>
      </c>
      <c r="N19" s="123" t="s">
        <v>11</v>
      </c>
      <c r="O19" s="123" t="s">
        <v>11</v>
      </c>
      <c r="P19" s="123" t="s">
        <v>11</v>
      </c>
      <c r="Q19" s="123" t="s">
        <v>11</v>
      </c>
      <c r="R19" s="123" t="s">
        <v>11</v>
      </c>
      <c r="S19" s="123" t="s">
        <v>11</v>
      </c>
      <c r="T19" s="123" t="s">
        <v>11</v>
      </c>
      <c r="U19" s="123" t="s">
        <v>11</v>
      </c>
      <c r="V19" s="123" t="s">
        <v>11</v>
      </c>
      <c r="W19" s="123" t="s">
        <v>11</v>
      </c>
      <c r="X19" s="123" t="s">
        <v>11</v>
      </c>
      <c r="Y19" s="123" t="s">
        <v>11</v>
      </c>
      <c r="Z19" s="123" t="s">
        <v>11</v>
      </c>
      <c r="AA19" s="123" t="s">
        <v>11</v>
      </c>
      <c r="AB19" s="123" t="s">
        <v>11</v>
      </c>
      <c r="AC19" s="123" t="s">
        <v>11</v>
      </c>
      <c r="AD19" s="123" t="s">
        <v>11</v>
      </c>
      <c r="AE19" s="123" t="s">
        <v>11</v>
      </c>
      <c r="AF19" s="123" t="s">
        <v>11</v>
      </c>
      <c r="AG19" s="80" t="s">
        <v>11</v>
      </c>
      <c r="AH19" s="80" t="s">
        <v>11</v>
      </c>
      <c r="AI19" s="21">
        <f t="shared" si="0"/>
        <v>1</v>
      </c>
    </row>
    <row r="20" spans="1:35" ht="15.75" customHeight="1" x14ac:dyDescent="0.25">
      <c r="A20" s="150" t="s">
        <v>24</v>
      </c>
      <c r="B20" s="151"/>
      <c r="C20" s="152"/>
      <c r="D20" s="123" t="s">
        <v>11</v>
      </c>
      <c r="E20" s="123" t="s">
        <v>11</v>
      </c>
      <c r="F20" s="123" t="s">
        <v>11</v>
      </c>
      <c r="G20" s="123" t="s">
        <v>11</v>
      </c>
      <c r="H20" s="123" t="s">
        <v>11</v>
      </c>
      <c r="I20" s="123" t="s">
        <v>11</v>
      </c>
      <c r="J20" s="123" t="s">
        <v>11</v>
      </c>
      <c r="K20" s="123" t="s">
        <v>11</v>
      </c>
      <c r="L20" s="123" t="s">
        <v>11</v>
      </c>
      <c r="M20" s="123" t="s">
        <v>11</v>
      </c>
      <c r="N20" s="123" t="s">
        <v>11</v>
      </c>
      <c r="O20" s="123" t="s">
        <v>11</v>
      </c>
      <c r="P20" s="123" t="s">
        <v>11</v>
      </c>
      <c r="Q20" s="123" t="s">
        <v>11</v>
      </c>
      <c r="R20" s="123" t="s">
        <v>11</v>
      </c>
      <c r="S20" s="123" t="s">
        <v>11</v>
      </c>
      <c r="T20" s="123" t="s">
        <v>11</v>
      </c>
      <c r="U20" s="123" t="s">
        <v>11</v>
      </c>
      <c r="V20" s="123" t="s">
        <v>11</v>
      </c>
      <c r="W20" s="123" t="s">
        <v>11</v>
      </c>
      <c r="X20" s="123" t="s">
        <v>11</v>
      </c>
      <c r="Y20" s="123" t="s">
        <v>11</v>
      </c>
      <c r="Z20" s="123" t="s">
        <v>11</v>
      </c>
      <c r="AA20" s="123" t="s">
        <v>11</v>
      </c>
      <c r="AB20" s="123" t="s">
        <v>11</v>
      </c>
      <c r="AC20" s="123" t="s">
        <v>11</v>
      </c>
      <c r="AD20" s="123" t="s">
        <v>11</v>
      </c>
      <c r="AE20" s="123" t="s">
        <v>11</v>
      </c>
      <c r="AF20" s="123" t="s">
        <v>11</v>
      </c>
      <c r="AG20" s="80" t="s">
        <v>11</v>
      </c>
      <c r="AH20" s="80" t="s">
        <v>11</v>
      </c>
      <c r="AI20" s="21">
        <f t="shared" si="0"/>
        <v>1</v>
      </c>
    </row>
    <row r="21" spans="1:35" ht="15.75" customHeight="1" x14ac:dyDescent="0.25">
      <c r="A21" s="138" t="s">
        <v>25</v>
      </c>
      <c r="B21" s="139"/>
      <c r="C21" s="140"/>
      <c r="D21" s="125" t="s">
        <v>11</v>
      </c>
      <c r="E21" s="125" t="s">
        <v>11</v>
      </c>
      <c r="F21" s="125" t="s">
        <v>11</v>
      </c>
      <c r="G21" s="125" t="s">
        <v>11</v>
      </c>
      <c r="H21" s="125" t="s">
        <v>11</v>
      </c>
      <c r="I21" s="125" t="s">
        <v>11</v>
      </c>
      <c r="J21" s="125" t="s">
        <v>11</v>
      </c>
      <c r="K21" s="125" t="s">
        <v>11</v>
      </c>
      <c r="L21" s="125" t="s">
        <v>11</v>
      </c>
      <c r="M21" s="125" t="s">
        <v>11</v>
      </c>
      <c r="N21" s="125" t="s">
        <v>11</v>
      </c>
      <c r="O21" s="125" t="s">
        <v>11</v>
      </c>
      <c r="P21" s="125" t="s">
        <v>11</v>
      </c>
      <c r="Q21" s="125" t="s">
        <v>11</v>
      </c>
      <c r="R21" s="125" t="s">
        <v>11</v>
      </c>
      <c r="S21" s="125" t="s">
        <v>11</v>
      </c>
      <c r="T21" s="125" t="s">
        <v>11</v>
      </c>
      <c r="U21" s="125" t="s">
        <v>11</v>
      </c>
      <c r="V21" s="125" t="s">
        <v>11</v>
      </c>
      <c r="W21" s="125" t="s">
        <v>11</v>
      </c>
      <c r="X21" s="125" t="s">
        <v>11</v>
      </c>
      <c r="Y21" s="125" t="s">
        <v>11</v>
      </c>
      <c r="Z21" s="125" t="s">
        <v>11</v>
      </c>
      <c r="AA21" s="125" t="s">
        <v>11</v>
      </c>
      <c r="AB21" s="125" t="s">
        <v>11</v>
      </c>
      <c r="AC21" s="125" t="s">
        <v>11</v>
      </c>
      <c r="AD21" s="125" t="s">
        <v>11</v>
      </c>
      <c r="AE21" s="125" t="s">
        <v>11</v>
      </c>
      <c r="AF21" s="125" t="s">
        <v>11</v>
      </c>
      <c r="AG21" s="73" t="s">
        <v>11</v>
      </c>
      <c r="AH21" s="73" t="s">
        <v>11</v>
      </c>
      <c r="AI21" s="17">
        <f t="shared" si="0"/>
        <v>1</v>
      </c>
    </row>
    <row r="22" spans="1:35" ht="15.75" customHeight="1" x14ac:dyDescent="0.25">
      <c r="A22" s="144" t="s">
        <v>26</v>
      </c>
      <c r="B22" s="145"/>
      <c r="C22" s="146"/>
      <c r="D22" s="81" t="s">
        <v>11</v>
      </c>
      <c r="E22" s="81" t="s">
        <v>11</v>
      </c>
      <c r="F22" s="81" t="s">
        <v>11</v>
      </c>
      <c r="G22" s="81" t="s">
        <v>11</v>
      </c>
      <c r="H22" s="81" t="s">
        <v>12</v>
      </c>
      <c r="I22" s="81" t="s">
        <v>11</v>
      </c>
      <c r="J22" s="81" t="s">
        <v>11</v>
      </c>
      <c r="K22" s="81" t="s">
        <v>11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24" t="s">
        <v>11</v>
      </c>
      <c r="S22" s="24" t="s">
        <v>11</v>
      </c>
      <c r="T22" s="24" t="s">
        <v>11</v>
      </c>
      <c r="U22" s="24" t="s">
        <v>11</v>
      </c>
      <c r="V22" s="24" t="s">
        <v>11</v>
      </c>
      <c r="W22" s="24" t="s">
        <v>11</v>
      </c>
      <c r="X22" s="24" t="s">
        <v>11</v>
      </c>
      <c r="Y22" s="24" t="s">
        <v>11</v>
      </c>
      <c r="Z22" s="24" t="s">
        <v>11</v>
      </c>
      <c r="AA22" s="24" t="s">
        <v>11</v>
      </c>
      <c r="AB22" s="24" t="s">
        <v>11</v>
      </c>
      <c r="AC22" s="24" t="s">
        <v>11</v>
      </c>
      <c r="AD22" s="24" t="s">
        <v>11</v>
      </c>
      <c r="AE22" s="24" t="s">
        <v>11</v>
      </c>
      <c r="AF22" s="24" t="s">
        <v>11</v>
      </c>
      <c r="AG22" s="24" t="s">
        <v>11</v>
      </c>
      <c r="AH22" s="24" t="s">
        <v>11</v>
      </c>
      <c r="AI22" s="19">
        <f t="shared" si="0"/>
        <v>0.967741935483871</v>
      </c>
    </row>
    <row r="23" spans="1:35" ht="15.75" customHeight="1" x14ac:dyDescent="0.25">
      <c r="A23" s="147" t="s">
        <v>27</v>
      </c>
      <c r="B23" s="148"/>
      <c r="C23" s="149"/>
      <c r="D23" s="124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11</v>
      </c>
      <c r="Q23" s="22" t="s">
        <v>11</v>
      </c>
      <c r="R23" s="22" t="s">
        <v>11</v>
      </c>
      <c r="S23" s="22" t="s">
        <v>11</v>
      </c>
      <c r="T23" s="22" t="s">
        <v>11</v>
      </c>
      <c r="U23" s="22" t="s">
        <v>11</v>
      </c>
      <c r="V23" s="22" t="s">
        <v>11</v>
      </c>
      <c r="W23" s="22" t="s">
        <v>11</v>
      </c>
      <c r="X23" s="22" t="s">
        <v>11</v>
      </c>
      <c r="Y23" s="22" t="s">
        <v>11</v>
      </c>
      <c r="Z23" s="22" t="s">
        <v>11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22" t="s">
        <v>11</v>
      </c>
      <c r="AG23" s="22" t="s">
        <v>11</v>
      </c>
      <c r="AH23" s="22" t="s">
        <v>11</v>
      </c>
      <c r="AI23" s="13">
        <f t="shared" si="0"/>
        <v>1</v>
      </c>
    </row>
    <row r="24" spans="1:35" ht="15.75" customHeight="1" x14ac:dyDescent="0.25">
      <c r="A24" s="138" t="s">
        <v>28</v>
      </c>
      <c r="B24" s="139"/>
      <c r="C24" s="140"/>
      <c r="D24" s="125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11</v>
      </c>
      <c r="N24" s="14" t="s">
        <v>11</v>
      </c>
      <c r="O24" s="14" t="s">
        <v>11</v>
      </c>
      <c r="P24" s="14" t="s">
        <v>11</v>
      </c>
      <c r="Q24" s="14" t="s">
        <v>11</v>
      </c>
      <c r="R24" s="14" t="s">
        <v>11</v>
      </c>
      <c r="S24" s="14" t="s">
        <v>11</v>
      </c>
      <c r="T24" s="14" t="s">
        <v>11</v>
      </c>
      <c r="U24" s="14" t="s">
        <v>11</v>
      </c>
      <c r="V24" s="14" t="s">
        <v>11</v>
      </c>
      <c r="W24" s="14" t="s">
        <v>11</v>
      </c>
      <c r="X24" s="14" t="s">
        <v>11</v>
      </c>
      <c r="Y24" s="14" t="s">
        <v>11</v>
      </c>
      <c r="Z24" s="14" t="s">
        <v>11</v>
      </c>
      <c r="AA24" s="14" t="s">
        <v>11</v>
      </c>
      <c r="AB24" s="14" t="s">
        <v>11</v>
      </c>
      <c r="AC24" s="14" t="s">
        <v>11</v>
      </c>
      <c r="AD24" s="14" t="s">
        <v>11</v>
      </c>
      <c r="AE24" s="14" t="s">
        <v>11</v>
      </c>
      <c r="AF24" s="14" t="s">
        <v>11</v>
      </c>
      <c r="AG24" s="14" t="s">
        <v>11</v>
      </c>
      <c r="AH24" s="14" t="s">
        <v>11</v>
      </c>
      <c r="AI24" s="17">
        <f t="shared" si="0"/>
        <v>1</v>
      </c>
    </row>
    <row r="25" spans="1:35" ht="15.75" customHeight="1" x14ac:dyDescent="0.25">
      <c r="A25" s="144" t="s">
        <v>29</v>
      </c>
      <c r="B25" s="145"/>
      <c r="C25" s="146"/>
      <c r="D25" s="25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81" t="s">
        <v>11</v>
      </c>
      <c r="N25" s="81" t="s">
        <v>11</v>
      </c>
      <c r="O25" s="81" t="s">
        <v>11</v>
      </c>
      <c r="P25" s="81" t="s">
        <v>11</v>
      </c>
      <c r="Q25" s="81" t="s">
        <v>11</v>
      </c>
      <c r="R25" s="81" t="s">
        <v>11</v>
      </c>
      <c r="S25" s="81" t="s">
        <v>11</v>
      </c>
      <c r="T25" s="81" t="s">
        <v>11</v>
      </c>
      <c r="U25" s="81" t="s">
        <v>11</v>
      </c>
      <c r="V25" s="81" t="s">
        <v>11</v>
      </c>
      <c r="W25" s="81" t="s">
        <v>11</v>
      </c>
      <c r="X25" s="81" t="s">
        <v>11</v>
      </c>
      <c r="Y25" s="81" t="s">
        <v>11</v>
      </c>
      <c r="Z25" s="81" t="s">
        <v>11</v>
      </c>
      <c r="AA25" s="81" t="s">
        <v>11</v>
      </c>
      <c r="AB25" s="81" t="s">
        <v>11</v>
      </c>
      <c r="AC25" s="81" t="s">
        <v>11</v>
      </c>
      <c r="AD25" s="81" t="s">
        <v>11</v>
      </c>
      <c r="AE25" s="81" t="s">
        <v>11</v>
      </c>
      <c r="AF25" s="81" t="s">
        <v>11</v>
      </c>
      <c r="AG25" s="81" t="s">
        <v>11</v>
      </c>
      <c r="AH25" s="81" t="s">
        <v>11</v>
      </c>
      <c r="AI25" s="19">
        <f t="shared" si="0"/>
        <v>1</v>
      </c>
    </row>
    <row r="26" spans="1:35" ht="15.75" customHeight="1" x14ac:dyDescent="0.25">
      <c r="A26" s="144" t="s">
        <v>30</v>
      </c>
      <c r="B26" s="145"/>
      <c r="C26" s="146"/>
      <c r="D26" s="25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41" t="s">
        <v>31</v>
      </c>
      <c r="B27" s="142"/>
      <c r="C27" s="143"/>
      <c r="D27" s="72" t="s">
        <v>8</v>
      </c>
      <c r="E27" s="72" t="s">
        <v>9</v>
      </c>
      <c r="F27" s="72" t="s">
        <v>8</v>
      </c>
      <c r="G27" s="72" t="s">
        <v>9</v>
      </c>
      <c r="H27" s="72" t="s">
        <v>8</v>
      </c>
      <c r="I27" s="72" t="s">
        <v>8</v>
      </c>
      <c r="J27" s="72" t="s">
        <v>8</v>
      </c>
      <c r="K27" s="72" t="s">
        <v>8</v>
      </c>
      <c r="L27" s="72" t="s">
        <v>8</v>
      </c>
      <c r="M27" s="72" t="s">
        <v>8</v>
      </c>
      <c r="N27" s="72" t="s">
        <v>8</v>
      </c>
      <c r="O27" s="72" t="s">
        <v>8</v>
      </c>
      <c r="P27" s="72" t="s">
        <v>8</v>
      </c>
      <c r="Q27" s="72" t="s">
        <v>8</v>
      </c>
      <c r="R27" s="72" t="s">
        <v>8</v>
      </c>
      <c r="S27" s="72" t="s">
        <v>8</v>
      </c>
      <c r="T27" s="72" t="s">
        <v>8</v>
      </c>
      <c r="U27" s="72" t="s">
        <v>8</v>
      </c>
      <c r="V27" s="72" t="s">
        <v>8</v>
      </c>
      <c r="W27" s="72" t="s">
        <v>8</v>
      </c>
      <c r="X27" s="72" t="s">
        <v>8</v>
      </c>
      <c r="Y27" s="72" t="s">
        <v>8</v>
      </c>
      <c r="Z27" s="72" t="s">
        <v>8</v>
      </c>
      <c r="AA27" s="72" t="s">
        <v>8</v>
      </c>
      <c r="AB27" s="72" t="s">
        <v>8</v>
      </c>
      <c r="AC27" s="72" t="s">
        <v>8</v>
      </c>
      <c r="AD27" s="72" t="s">
        <v>8</v>
      </c>
      <c r="AE27" s="72" t="s">
        <v>8</v>
      </c>
      <c r="AF27" s="72" t="s">
        <v>8</v>
      </c>
      <c r="AG27" s="72" t="s">
        <v>8</v>
      </c>
      <c r="AH27" s="72" t="s">
        <v>8</v>
      </c>
      <c r="AI27" s="13">
        <f t="shared" si="0"/>
        <v>1</v>
      </c>
    </row>
    <row r="28" spans="1:35" ht="15.75" customHeight="1" x14ac:dyDescent="0.25">
      <c r="A28" s="156" t="s">
        <v>32</v>
      </c>
      <c r="B28" s="157"/>
      <c r="C28" s="158"/>
      <c r="D28" s="28" t="s">
        <v>141</v>
      </c>
      <c r="E28" s="28" t="s">
        <v>135</v>
      </c>
      <c r="F28" s="28" t="s">
        <v>142</v>
      </c>
      <c r="G28" s="28">
        <v>2</v>
      </c>
      <c r="H28" s="28">
        <v>3</v>
      </c>
      <c r="I28" s="28">
        <v>3</v>
      </c>
      <c r="J28" s="28">
        <v>3</v>
      </c>
      <c r="K28" s="28" t="s">
        <v>116</v>
      </c>
      <c r="L28" s="28" t="s">
        <v>116</v>
      </c>
      <c r="M28" s="28" t="s">
        <v>124</v>
      </c>
      <c r="N28" s="28">
        <v>2</v>
      </c>
      <c r="O28" s="28" t="s">
        <v>124</v>
      </c>
      <c r="P28" s="28">
        <v>3</v>
      </c>
      <c r="Q28" s="28">
        <v>2</v>
      </c>
      <c r="R28" s="102" t="s">
        <v>118</v>
      </c>
      <c r="S28" s="102" t="s">
        <v>118</v>
      </c>
      <c r="T28" s="102" t="s">
        <v>118</v>
      </c>
      <c r="U28" s="102" t="s">
        <v>118</v>
      </c>
      <c r="V28" s="102" t="s">
        <v>118</v>
      </c>
      <c r="W28" s="102" t="s">
        <v>118</v>
      </c>
      <c r="X28" s="102">
        <v>3</v>
      </c>
      <c r="Y28" s="102">
        <v>3</v>
      </c>
      <c r="Z28" s="102">
        <v>3</v>
      </c>
      <c r="AA28" s="102">
        <v>3</v>
      </c>
      <c r="AB28" s="102" t="s">
        <v>116</v>
      </c>
      <c r="AC28" s="102">
        <v>2</v>
      </c>
      <c r="AD28" s="102">
        <v>3</v>
      </c>
      <c r="AE28" s="102">
        <v>3</v>
      </c>
      <c r="AF28" s="102">
        <v>3</v>
      </c>
      <c r="AG28" s="102">
        <v>3</v>
      </c>
      <c r="AH28" s="102">
        <v>3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53" t="s">
        <v>99</v>
      </c>
      <c r="B29" s="154"/>
      <c r="C29" s="155"/>
      <c r="D29" s="83">
        <v>108.5</v>
      </c>
      <c r="E29" s="29">
        <v>88.7</v>
      </c>
      <c r="F29" s="29">
        <v>51.3</v>
      </c>
      <c r="G29" s="29" t="s">
        <v>143</v>
      </c>
      <c r="H29" s="29" t="s">
        <v>144</v>
      </c>
      <c r="I29" s="29" t="s">
        <v>145</v>
      </c>
      <c r="J29" s="29">
        <v>82.4</v>
      </c>
      <c r="K29" s="29">
        <v>27.2</v>
      </c>
      <c r="L29" s="29">
        <v>51.9</v>
      </c>
      <c r="M29" s="29" t="s">
        <v>146</v>
      </c>
      <c r="N29" s="29" t="s">
        <v>147</v>
      </c>
      <c r="O29" s="29" t="s">
        <v>148</v>
      </c>
      <c r="P29" s="29" t="s">
        <v>154</v>
      </c>
      <c r="Q29" s="29" t="s">
        <v>149</v>
      </c>
      <c r="R29" s="83">
        <v>1.2</v>
      </c>
      <c r="S29" s="83">
        <v>10.6</v>
      </c>
      <c r="T29" s="83" t="s">
        <v>150</v>
      </c>
      <c r="U29" s="83" t="s">
        <v>147</v>
      </c>
      <c r="V29" s="83" t="s">
        <v>151</v>
      </c>
      <c r="W29" s="83" t="s">
        <v>155</v>
      </c>
      <c r="X29" s="83">
        <v>21.2</v>
      </c>
      <c r="Y29" s="83">
        <v>6.8</v>
      </c>
      <c r="Z29" s="83" t="s">
        <v>152</v>
      </c>
      <c r="AA29" s="83" t="s">
        <v>153</v>
      </c>
      <c r="AB29" s="83" t="s">
        <v>153</v>
      </c>
      <c r="AC29" s="83" t="s">
        <v>156</v>
      </c>
      <c r="AD29" s="83">
        <v>13.6</v>
      </c>
      <c r="AE29" s="83">
        <v>2.7</v>
      </c>
      <c r="AF29" s="83">
        <v>1.3</v>
      </c>
      <c r="AG29" s="83">
        <v>12.2</v>
      </c>
      <c r="AH29" s="83">
        <v>19.8</v>
      </c>
      <c r="AI29" s="19">
        <f>IF(COUNTA(D29:AH29)&gt;0,(COUNTA(D29:AH29)-COUNTIF(D29:AH29,"NB")-COUNTIF(D29:AH29,"DN")-COUNTIF(D29:AH29,"An")-COUNTIF(D29:AH29,"NB^")-COUNTIF(D29:AH29,0))/COUNTA(D29:AH29),"")</f>
        <v>1</v>
      </c>
    </row>
    <row r="30" spans="1:35" ht="15.75" customHeight="1" x14ac:dyDescent="0.25">
      <c r="A30" s="165" t="s">
        <v>33</v>
      </c>
      <c r="B30" s="166"/>
      <c r="C30" s="167"/>
      <c r="D30" s="84" t="s">
        <v>8</v>
      </c>
      <c r="E30" s="84" t="s">
        <v>9</v>
      </c>
      <c r="F30" s="84" t="s">
        <v>8</v>
      </c>
      <c r="G30" s="84" t="s">
        <v>9</v>
      </c>
      <c r="H30" s="84" t="s">
        <v>8</v>
      </c>
      <c r="I30" s="84" t="s">
        <v>8</v>
      </c>
      <c r="J30" s="84" t="s">
        <v>8</v>
      </c>
      <c r="K30" s="84" t="s">
        <v>8</v>
      </c>
      <c r="L30" s="84" t="s">
        <v>8</v>
      </c>
      <c r="M30" s="84" t="s">
        <v>8</v>
      </c>
      <c r="N30" s="84" t="s">
        <v>8</v>
      </c>
      <c r="O30" s="84" t="s">
        <v>8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8</v>
      </c>
      <c r="U30" s="84" t="s">
        <v>8</v>
      </c>
      <c r="V30" s="84" t="s">
        <v>8</v>
      </c>
      <c r="W30" s="84" t="s">
        <v>8</v>
      </c>
      <c r="X30" s="84" t="s">
        <v>8</v>
      </c>
      <c r="Y30" s="84" t="s">
        <v>8</v>
      </c>
      <c r="Z30" s="84" t="s">
        <v>8</v>
      </c>
      <c r="AA30" s="84" t="s">
        <v>8</v>
      </c>
      <c r="AB30" s="84" t="s">
        <v>8</v>
      </c>
      <c r="AC30" s="84" t="s">
        <v>8</v>
      </c>
      <c r="AD30" s="84" t="s">
        <v>8</v>
      </c>
      <c r="AE30" s="84" t="s">
        <v>8</v>
      </c>
      <c r="AF30" s="84" t="s">
        <v>8</v>
      </c>
      <c r="AG30" s="84" t="s">
        <v>8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41" t="s">
        <v>34</v>
      </c>
      <c r="B31" s="142"/>
      <c r="C31" s="143"/>
      <c r="D31" s="72" t="s">
        <v>8</v>
      </c>
      <c r="E31" s="72" t="s">
        <v>8</v>
      </c>
      <c r="F31" s="72" t="s">
        <v>8</v>
      </c>
      <c r="G31" s="72" t="s">
        <v>9</v>
      </c>
      <c r="H31" s="72" t="s">
        <v>8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8</v>
      </c>
      <c r="O31" s="72" t="s">
        <v>8</v>
      </c>
      <c r="P31" s="72" t="s">
        <v>8</v>
      </c>
      <c r="Q31" s="72" t="s">
        <v>8</v>
      </c>
      <c r="R31" s="72" t="s">
        <v>8</v>
      </c>
      <c r="S31" s="72" t="s">
        <v>8</v>
      </c>
      <c r="T31" s="72" t="s">
        <v>8</v>
      </c>
      <c r="U31" s="72" t="s">
        <v>8</v>
      </c>
      <c r="V31" s="72" t="s">
        <v>8</v>
      </c>
      <c r="W31" s="72" t="s">
        <v>8</v>
      </c>
      <c r="X31" s="72" t="s">
        <v>8</v>
      </c>
      <c r="Y31" s="72" t="s">
        <v>8</v>
      </c>
      <c r="Z31" s="72" t="s">
        <v>8</v>
      </c>
      <c r="AA31" s="72" t="s">
        <v>8</v>
      </c>
      <c r="AB31" s="72" t="s">
        <v>8</v>
      </c>
      <c r="AC31" s="72" t="s">
        <v>8</v>
      </c>
      <c r="AD31" s="72" t="s">
        <v>8</v>
      </c>
      <c r="AE31" s="72" t="s">
        <v>8</v>
      </c>
      <c r="AF31" s="72" t="s">
        <v>8</v>
      </c>
      <c r="AG31" s="72" t="s">
        <v>8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8" t="s">
        <v>35</v>
      </c>
      <c r="B32" s="169"/>
      <c r="C32" s="170"/>
      <c r="D32" s="85" t="s">
        <v>8</v>
      </c>
      <c r="E32" s="85" t="s">
        <v>8</v>
      </c>
      <c r="F32" s="85" t="s">
        <v>8</v>
      </c>
      <c r="G32" s="85" t="s">
        <v>9</v>
      </c>
      <c r="H32" s="85" t="s">
        <v>8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8</v>
      </c>
      <c r="O32" s="85" t="s">
        <v>8</v>
      </c>
      <c r="P32" s="85" t="s">
        <v>8</v>
      </c>
      <c r="Q32" s="85" t="s">
        <v>8</v>
      </c>
      <c r="R32" s="85" t="s">
        <v>8</v>
      </c>
      <c r="S32" s="85" t="s">
        <v>8</v>
      </c>
      <c r="T32" s="85" t="s">
        <v>8</v>
      </c>
      <c r="U32" s="85" t="s">
        <v>8</v>
      </c>
      <c r="V32" s="85" t="s">
        <v>8</v>
      </c>
      <c r="W32" s="85" t="s">
        <v>8</v>
      </c>
      <c r="X32" s="85" t="s">
        <v>8</v>
      </c>
      <c r="Y32" s="85" t="s">
        <v>8</v>
      </c>
      <c r="Z32" s="85" t="s">
        <v>8</v>
      </c>
      <c r="AA32" s="85" t="s">
        <v>8</v>
      </c>
      <c r="AB32" s="85" t="s">
        <v>8</v>
      </c>
      <c r="AC32" s="85" t="s">
        <v>8</v>
      </c>
      <c r="AD32" s="85" t="s">
        <v>8</v>
      </c>
      <c r="AE32" s="85" t="s">
        <v>8</v>
      </c>
      <c r="AF32" s="85" t="s">
        <v>8</v>
      </c>
      <c r="AG32" s="85" t="s">
        <v>8</v>
      </c>
      <c r="AH32" s="85" t="s">
        <v>8</v>
      </c>
      <c r="AI32" s="17">
        <f t="shared" si="0"/>
        <v>1</v>
      </c>
    </row>
    <row r="33" spans="1:44" ht="15.75" customHeight="1" x14ac:dyDescent="0.25">
      <c r="A33" s="144" t="s">
        <v>36</v>
      </c>
      <c r="B33" s="145"/>
      <c r="C33" s="146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81" t="s">
        <v>11</v>
      </c>
      <c r="AG33" s="24" t="s">
        <v>11</v>
      </c>
      <c r="AH33" s="24" t="s">
        <v>11</v>
      </c>
      <c r="AI33" s="19">
        <f t="shared" si="0"/>
        <v>1</v>
      </c>
    </row>
    <row r="34" spans="1:44" ht="15.75" customHeight="1" x14ac:dyDescent="0.25">
      <c r="A34" s="144" t="s">
        <v>95</v>
      </c>
      <c r="B34" s="145"/>
      <c r="C34" s="146"/>
      <c r="D34" s="81" t="s">
        <v>11</v>
      </c>
      <c r="E34" s="101" t="s">
        <v>11</v>
      </c>
      <c r="F34" s="101" t="s">
        <v>11</v>
      </c>
      <c r="G34" s="101" t="s">
        <v>11</v>
      </c>
      <c r="H34" s="101" t="s">
        <v>11</v>
      </c>
      <c r="I34" s="101" t="s">
        <v>11</v>
      </c>
      <c r="J34" s="101" t="s">
        <v>11</v>
      </c>
      <c r="K34" s="101" t="s">
        <v>11</v>
      </c>
      <c r="L34" s="101" t="s">
        <v>11</v>
      </c>
      <c r="M34" s="101" t="s">
        <v>11</v>
      </c>
      <c r="N34" s="101" t="s">
        <v>11</v>
      </c>
      <c r="O34" s="101" t="s">
        <v>11</v>
      </c>
      <c r="P34" s="101" t="s">
        <v>11</v>
      </c>
      <c r="Q34" s="101" t="s">
        <v>11</v>
      </c>
      <c r="R34" s="101" t="s">
        <v>11</v>
      </c>
      <c r="S34" s="101" t="s">
        <v>11</v>
      </c>
      <c r="T34" s="101" t="s">
        <v>11</v>
      </c>
      <c r="U34" s="101" t="s">
        <v>11</v>
      </c>
      <c r="V34" s="101" t="s">
        <v>11</v>
      </c>
      <c r="W34" s="101" t="s">
        <v>11</v>
      </c>
      <c r="X34" s="101" t="s">
        <v>11</v>
      </c>
      <c r="Y34" s="101" t="s">
        <v>11</v>
      </c>
      <c r="Z34" s="101" t="s">
        <v>11</v>
      </c>
      <c r="AA34" s="101" t="s">
        <v>11</v>
      </c>
      <c r="AB34" s="101" t="s">
        <v>11</v>
      </c>
      <c r="AC34" s="101" t="s">
        <v>11</v>
      </c>
      <c r="AD34" s="101" t="s">
        <v>11</v>
      </c>
      <c r="AE34" s="101" t="s">
        <v>11</v>
      </c>
      <c r="AF34" s="101" t="s">
        <v>11</v>
      </c>
      <c r="AG34" s="24" t="s">
        <v>11</v>
      </c>
      <c r="AH34" s="24" t="s">
        <v>11</v>
      </c>
      <c r="AI34" s="13">
        <f>IF(COUNTA(D34:AH34)&gt;0,(COUNTA(D34:AH34)-COUNTIF(D34:AH34,"NB")-COUNTIF(D34:AH34,"DN")-COUNTIF(D34:AH34,"An")-COUNTIF(D34:AH34,"NB^")-COUNTIF(D34:AH34,0))/COUNTA(D34:AH34),"")</f>
        <v>1</v>
      </c>
    </row>
    <row r="35" spans="1:44" ht="15.75" customHeight="1" thickBot="1" x14ac:dyDescent="0.3">
      <c r="A35" s="171" t="s">
        <v>96</v>
      </c>
      <c r="B35" s="172"/>
      <c r="C35" s="173"/>
      <c r="D35" s="95" t="s">
        <v>11</v>
      </c>
      <c r="E35" s="129" t="s">
        <v>11</v>
      </c>
      <c r="F35" s="129" t="s">
        <v>11</v>
      </c>
      <c r="G35" s="129" t="s">
        <v>11</v>
      </c>
      <c r="H35" s="129" t="s">
        <v>11</v>
      </c>
      <c r="I35" s="129" t="s">
        <v>11</v>
      </c>
      <c r="J35" s="129" t="s">
        <v>11</v>
      </c>
      <c r="K35" s="129" t="s">
        <v>11</v>
      </c>
      <c r="L35" s="129" t="s">
        <v>11</v>
      </c>
      <c r="M35" s="129" t="s">
        <v>11</v>
      </c>
      <c r="N35" s="129" t="s">
        <v>11</v>
      </c>
      <c r="O35" s="129" t="s">
        <v>11</v>
      </c>
      <c r="P35" s="129" t="s">
        <v>11</v>
      </c>
      <c r="Q35" s="129" t="s">
        <v>11</v>
      </c>
      <c r="R35" s="129" t="s">
        <v>11</v>
      </c>
      <c r="S35" s="129" t="s">
        <v>11</v>
      </c>
      <c r="T35" s="129" t="s">
        <v>11</v>
      </c>
      <c r="U35" s="129" t="s">
        <v>11</v>
      </c>
      <c r="V35" s="129" t="s">
        <v>11</v>
      </c>
      <c r="W35" s="129" t="s">
        <v>11</v>
      </c>
      <c r="X35" s="129" t="s">
        <v>11</v>
      </c>
      <c r="Y35" s="129" t="s">
        <v>11</v>
      </c>
      <c r="Z35" s="129" t="s">
        <v>11</v>
      </c>
      <c r="AA35" s="129" t="s">
        <v>11</v>
      </c>
      <c r="AB35" s="129" t="s">
        <v>11</v>
      </c>
      <c r="AC35" s="129" t="s">
        <v>11</v>
      </c>
      <c r="AD35" s="129" t="s">
        <v>11</v>
      </c>
      <c r="AE35" s="129" t="s">
        <v>11</v>
      </c>
      <c r="AF35" s="129" t="s">
        <v>11</v>
      </c>
      <c r="AG35" s="103" t="s">
        <v>11</v>
      </c>
      <c r="AH35" s="103" t="s">
        <v>11</v>
      </c>
      <c r="AI35" s="30">
        <f t="shared" si="0"/>
        <v>1</v>
      </c>
    </row>
    <row r="36" spans="1:44" s="32" customFormat="1" ht="15.75" customHeight="1" x14ac:dyDescent="0.25">
      <c r="A36" s="162" t="s">
        <v>37</v>
      </c>
      <c r="B36" s="163"/>
      <c r="C36" s="164"/>
      <c r="D36" s="76">
        <v>0</v>
      </c>
      <c r="E36" s="76">
        <v>0</v>
      </c>
      <c r="F36" s="76">
        <v>0</v>
      </c>
      <c r="G36" s="76">
        <v>0</v>
      </c>
      <c r="H36" s="76">
        <v>75</v>
      </c>
      <c r="I36" s="76">
        <v>0</v>
      </c>
      <c r="J36" s="76">
        <v>50</v>
      </c>
      <c r="K36" s="76">
        <v>0</v>
      </c>
      <c r="L36" s="76">
        <v>0</v>
      </c>
      <c r="M36" s="76">
        <v>0</v>
      </c>
      <c r="N36" s="76">
        <v>0</v>
      </c>
      <c r="O36" s="76">
        <v>1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20</v>
      </c>
      <c r="W36" s="76">
        <v>0</v>
      </c>
      <c r="X36" s="76">
        <v>10</v>
      </c>
      <c r="Y36" s="76">
        <v>0</v>
      </c>
      <c r="Z36" s="76">
        <v>0</v>
      </c>
      <c r="AA36" s="76">
        <v>0</v>
      </c>
      <c r="AB36" s="76">
        <v>0</v>
      </c>
      <c r="AC36" s="76">
        <v>0</v>
      </c>
      <c r="AD36" s="76">
        <v>15</v>
      </c>
      <c r="AE36" s="76">
        <v>0</v>
      </c>
      <c r="AF36" s="76">
        <v>0</v>
      </c>
      <c r="AG36" s="76">
        <v>0</v>
      </c>
      <c r="AH36" s="78">
        <v>20</v>
      </c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28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37:C37"/>
    <mergeCell ref="A41:AH41"/>
    <mergeCell ref="A30:C30"/>
    <mergeCell ref="A31:C31"/>
    <mergeCell ref="A32:C32"/>
    <mergeCell ref="A33:C33"/>
    <mergeCell ref="A35:C35"/>
    <mergeCell ref="A36:C36"/>
    <mergeCell ref="A34:C34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E6:G35">
    <cfRule type="cellIs" priority="196" stopIfTrue="1" operator="equal">
      <formula>"B"</formula>
    </cfRule>
    <cfRule type="cellIs" dxfId="1191" priority="197" stopIfTrue="1" operator="equal">
      <formula>"M"</formula>
    </cfRule>
    <cfRule type="cellIs" dxfId="1190" priority="198" stopIfTrue="1" operator="equal">
      <formula>"NB"</formula>
    </cfRule>
    <cfRule type="cellIs" dxfId="1189" priority="199" stopIfTrue="1" operator="equal">
      <formula>0</formula>
    </cfRule>
  </conditionalFormatting>
  <conditionalFormatting sqref="R6:R8 R18:R22 R30:R35 R27">
    <cfRule type="cellIs" dxfId="1188" priority="184" stopIfTrue="1" operator="equal">
      <formula>"B"</formula>
    </cfRule>
    <cfRule type="cellIs" dxfId="1187" priority="185" stopIfTrue="1" operator="equal">
      <formula>"M"</formula>
    </cfRule>
    <cfRule type="cellIs" dxfId="1186" priority="186" stopIfTrue="1" operator="between">
      <formula>"NB"</formula>
      <formula>"NB^"</formula>
    </cfRule>
  </conditionalFormatting>
  <conditionalFormatting sqref="R28:R29">
    <cfRule type="cellIs" dxfId="1185" priority="187" stopIfTrue="1" operator="equal">
      <formula>0</formula>
    </cfRule>
  </conditionalFormatting>
  <conditionalFormatting sqref="R15:R17">
    <cfRule type="cellIs" priority="180" stopIfTrue="1" operator="equal">
      <formula>"B"</formula>
    </cfRule>
    <cfRule type="cellIs" dxfId="1184" priority="181" stopIfTrue="1" operator="equal">
      <formula>"M"</formula>
    </cfRule>
    <cfRule type="cellIs" dxfId="1183" priority="182" stopIfTrue="1" operator="equal">
      <formula>"NB"</formula>
    </cfRule>
    <cfRule type="cellIs" dxfId="1182" priority="183" stopIfTrue="1" operator="equal">
      <formula>0</formula>
    </cfRule>
  </conditionalFormatting>
  <conditionalFormatting sqref="Z28:Z29">
    <cfRule type="cellIs" dxfId="1181" priority="163" stopIfTrue="1" operator="equal">
      <formula>0</formula>
    </cfRule>
  </conditionalFormatting>
  <conditionalFormatting sqref="AG25:AG26">
    <cfRule type="cellIs" dxfId="1180" priority="153" stopIfTrue="1" operator="equal">
      <formula>"B"</formula>
    </cfRule>
    <cfRule type="cellIs" dxfId="1179" priority="154" stopIfTrue="1" operator="equal">
      <formula>"M"</formula>
    </cfRule>
    <cfRule type="cellIs" dxfId="1178" priority="155" stopIfTrue="1" operator="between">
      <formula>"NB"</formula>
      <formula>"NB^"</formula>
    </cfRule>
  </conditionalFormatting>
  <conditionalFormatting sqref="AG18:AG22 AG30:AG35 AG27 AG6:AG14">
    <cfRule type="cellIs" dxfId="1177" priority="149" stopIfTrue="1" operator="equal">
      <formula>"B"</formula>
    </cfRule>
    <cfRule type="cellIs" dxfId="1176" priority="150" stopIfTrue="1" operator="equal">
      <formula>"M"</formula>
    </cfRule>
    <cfRule type="cellIs" dxfId="1175" priority="151" stopIfTrue="1" operator="between">
      <formula>"NB"</formula>
      <formula>"NB^"</formula>
    </cfRule>
  </conditionalFormatting>
  <conditionalFormatting sqref="AG28:AG29">
    <cfRule type="cellIs" dxfId="1174" priority="152" stopIfTrue="1" operator="equal">
      <formula>0</formula>
    </cfRule>
  </conditionalFormatting>
  <conditionalFormatting sqref="AG15:AG17">
    <cfRule type="cellIs" priority="145" stopIfTrue="1" operator="equal">
      <formula>"B"</formula>
    </cfRule>
    <cfRule type="cellIs" dxfId="1173" priority="146" stopIfTrue="1" operator="equal">
      <formula>"M"</formula>
    </cfRule>
    <cfRule type="cellIs" dxfId="1172" priority="147" stopIfTrue="1" operator="equal">
      <formula>"NB"</formula>
    </cfRule>
    <cfRule type="cellIs" dxfId="1171" priority="148" stopIfTrue="1" operator="equal">
      <formula>0</formula>
    </cfRule>
  </conditionalFormatting>
  <conditionalFormatting sqref="D22">
    <cfRule type="cellIs" priority="130" stopIfTrue="1" operator="equal">
      <formula>"B"</formula>
    </cfRule>
    <cfRule type="cellIs" dxfId="1170" priority="131" stopIfTrue="1" operator="equal">
      <formula>"M"</formula>
    </cfRule>
    <cfRule type="cellIs" dxfId="1169" priority="132" stopIfTrue="1" operator="equal">
      <formula>"NB"</formula>
    </cfRule>
    <cfRule type="cellIs" dxfId="1168" priority="133" stopIfTrue="1" operator="equal">
      <formula>0</formula>
    </cfRule>
  </conditionalFormatting>
  <conditionalFormatting sqref="D9:D14">
    <cfRule type="cellIs" dxfId="1167" priority="127" stopIfTrue="1" operator="equal">
      <formula>"M"</formula>
    </cfRule>
    <cfRule type="cellIs" dxfId="1166" priority="128" stopIfTrue="1" operator="equal">
      <formula>"NB"</formula>
    </cfRule>
    <cfRule type="cellIs" dxfId="1165" priority="129" stopIfTrue="1" operator="equal">
      <formula>"B"</formula>
    </cfRule>
  </conditionalFormatting>
  <conditionalFormatting sqref="D6:D8 D15:D21 D23:D24 D27:D35">
    <cfRule type="cellIs" priority="123" stopIfTrue="1" operator="equal">
      <formula>"B"</formula>
    </cfRule>
    <cfRule type="cellIs" dxfId="1164" priority="124" stopIfTrue="1" operator="equal">
      <formula>"M"</formula>
    </cfRule>
    <cfRule type="cellIs" dxfId="1163" priority="125" stopIfTrue="1" operator="equal">
      <formula>"NB"</formula>
    </cfRule>
    <cfRule type="cellIs" dxfId="1162" priority="126" stopIfTrue="1" operator="equal">
      <formula>0</formula>
    </cfRule>
  </conditionalFormatting>
  <conditionalFormatting sqref="D25:D26">
    <cfRule type="cellIs" dxfId="1161" priority="120" stopIfTrue="1" operator="equal">
      <formula>"M"</formula>
    </cfRule>
    <cfRule type="cellIs" dxfId="1160" priority="121" stopIfTrue="1" operator="equal">
      <formula>"NB"</formula>
    </cfRule>
    <cfRule type="cellIs" dxfId="1159" priority="122" stopIfTrue="1" operator="equal">
      <formula>"B"</formula>
    </cfRule>
  </conditionalFormatting>
  <conditionalFormatting sqref="H6:K35">
    <cfRule type="cellIs" priority="116" stopIfTrue="1" operator="equal">
      <formula>"B"</formula>
    </cfRule>
    <cfRule type="cellIs" dxfId="1158" priority="117" stopIfTrue="1" operator="equal">
      <formula>"M"</formula>
    </cfRule>
    <cfRule type="cellIs" dxfId="1157" priority="118" stopIfTrue="1" operator="equal">
      <formula>"NB"</formula>
    </cfRule>
    <cfRule type="cellIs" dxfId="1156" priority="119" stopIfTrue="1" operator="equal">
      <formula>0</formula>
    </cfRule>
  </conditionalFormatting>
  <conditionalFormatting sqref="L6:L35">
    <cfRule type="cellIs" priority="112" stopIfTrue="1" operator="equal">
      <formula>"B"</formula>
    </cfRule>
    <cfRule type="cellIs" dxfId="1155" priority="113" stopIfTrue="1" operator="equal">
      <formula>"M"</formula>
    </cfRule>
    <cfRule type="cellIs" dxfId="1154" priority="114" stopIfTrue="1" operator="equal">
      <formula>"NB"</formula>
    </cfRule>
    <cfRule type="cellIs" dxfId="1153" priority="115" stopIfTrue="1" operator="equal">
      <formula>0</formula>
    </cfRule>
  </conditionalFormatting>
  <conditionalFormatting sqref="M6:M35 N22:Q24 R23:R24 N9:R14">
    <cfRule type="cellIs" priority="108" stopIfTrue="1" operator="equal">
      <formula>"B"</formula>
    </cfRule>
    <cfRule type="cellIs" dxfId="1152" priority="109" stopIfTrue="1" operator="equal">
      <formula>"M"</formula>
    </cfRule>
    <cfRule type="cellIs" dxfId="1151" priority="110" stopIfTrue="1" operator="equal">
      <formula>"NB"</formula>
    </cfRule>
    <cfRule type="cellIs" dxfId="1150" priority="111" stopIfTrue="1" operator="equal">
      <formula>0</formula>
    </cfRule>
  </conditionalFormatting>
  <conditionalFormatting sqref="N25:Q35 N6:R8 N15:R21 R25:R27 R30:R35">
    <cfRule type="cellIs" priority="104" stopIfTrue="1" operator="equal">
      <formula>"B"</formula>
    </cfRule>
    <cfRule type="cellIs" dxfId="1149" priority="105" stopIfTrue="1" operator="equal">
      <formula>"M"</formula>
    </cfRule>
    <cfRule type="cellIs" dxfId="1148" priority="106" stopIfTrue="1" operator="equal">
      <formula>"NB"</formula>
    </cfRule>
    <cfRule type="cellIs" dxfId="1147" priority="107" stopIfTrue="1" operator="equal">
      <formula>0</formula>
    </cfRule>
  </conditionalFormatting>
  <conditionalFormatting sqref="S6:S8 S18:S22 S30:S35 S27">
    <cfRule type="cellIs" dxfId="1146" priority="100" stopIfTrue="1" operator="equal">
      <formula>"B"</formula>
    </cfRule>
    <cfRule type="cellIs" dxfId="1145" priority="101" stopIfTrue="1" operator="equal">
      <formula>"M"</formula>
    </cfRule>
    <cfRule type="cellIs" dxfId="1144" priority="102" stopIfTrue="1" operator="between">
      <formula>"NB"</formula>
      <formula>"NB^"</formula>
    </cfRule>
  </conditionalFormatting>
  <conditionalFormatting sqref="S28:S29">
    <cfRule type="cellIs" dxfId="1143" priority="103" stopIfTrue="1" operator="equal">
      <formula>0</formula>
    </cfRule>
  </conditionalFormatting>
  <conditionalFormatting sqref="S15:S17">
    <cfRule type="cellIs" priority="96" stopIfTrue="1" operator="equal">
      <formula>"B"</formula>
    </cfRule>
    <cfRule type="cellIs" dxfId="1142" priority="97" stopIfTrue="1" operator="equal">
      <formula>"M"</formula>
    </cfRule>
    <cfRule type="cellIs" dxfId="1141" priority="98" stopIfTrue="1" operator="equal">
      <formula>"NB"</formula>
    </cfRule>
    <cfRule type="cellIs" dxfId="1140" priority="99" stopIfTrue="1" operator="equal">
      <formula>0</formula>
    </cfRule>
  </conditionalFormatting>
  <conditionalFormatting sqref="S23:S24 S9:S14">
    <cfRule type="cellIs" priority="92" stopIfTrue="1" operator="equal">
      <formula>"B"</formula>
    </cfRule>
    <cfRule type="cellIs" dxfId="1139" priority="93" stopIfTrue="1" operator="equal">
      <formula>"M"</formula>
    </cfRule>
    <cfRule type="cellIs" dxfId="1138" priority="94" stopIfTrue="1" operator="equal">
      <formula>"NB"</formula>
    </cfRule>
    <cfRule type="cellIs" dxfId="1137" priority="95" stopIfTrue="1" operator="equal">
      <formula>0</formula>
    </cfRule>
  </conditionalFormatting>
  <conditionalFormatting sqref="S6:S8 S15:S21 S25:S27 S30:S35">
    <cfRule type="cellIs" priority="88" stopIfTrue="1" operator="equal">
      <formula>"B"</formula>
    </cfRule>
    <cfRule type="cellIs" dxfId="1136" priority="89" stopIfTrue="1" operator="equal">
      <formula>"M"</formula>
    </cfRule>
    <cfRule type="cellIs" dxfId="1135" priority="90" stopIfTrue="1" operator="equal">
      <formula>"NB"</formula>
    </cfRule>
    <cfRule type="cellIs" dxfId="1134" priority="91" stopIfTrue="1" operator="equal">
      <formula>0</formula>
    </cfRule>
  </conditionalFormatting>
  <conditionalFormatting sqref="T6:X8 T18:X22 T30:X35 T27:X27">
    <cfRule type="cellIs" dxfId="1133" priority="84" stopIfTrue="1" operator="equal">
      <formula>"B"</formula>
    </cfRule>
    <cfRule type="cellIs" dxfId="1132" priority="85" stopIfTrue="1" operator="equal">
      <formula>"M"</formula>
    </cfRule>
    <cfRule type="cellIs" dxfId="1131" priority="86" stopIfTrue="1" operator="between">
      <formula>"NB"</formula>
      <formula>"NB^"</formula>
    </cfRule>
  </conditionalFormatting>
  <conditionalFormatting sqref="T28:X29">
    <cfRule type="cellIs" dxfId="1130" priority="87" stopIfTrue="1" operator="equal">
      <formula>0</formula>
    </cfRule>
  </conditionalFormatting>
  <conditionalFormatting sqref="T15:X17">
    <cfRule type="cellIs" priority="80" stopIfTrue="1" operator="equal">
      <formula>"B"</formula>
    </cfRule>
    <cfRule type="cellIs" dxfId="1129" priority="81" stopIfTrue="1" operator="equal">
      <formula>"M"</formula>
    </cfRule>
    <cfRule type="cellIs" dxfId="1128" priority="82" stopIfTrue="1" operator="equal">
      <formula>"NB"</formula>
    </cfRule>
    <cfRule type="cellIs" dxfId="1127" priority="83" stopIfTrue="1" operator="equal">
      <formula>0</formula>
    </cfRule>
  </conditionalFormatting>
  <conditionalFormatting sqref="T9:X14 T23:X24 Z23:Z24 Z9:Z14">
    <cfRule type="cellIs" priority="76" stopIfTrue="1" operator="equal">
      <formula>"B"</formula>
    </cfRule>
    <cfRule type="cellIs" dxfId="1126" priority="77" stopIfTrue="1" operator="equal">
      <formula>"M"</formula>
    </cfRule>
    <cfRule type="cellIs" dxfId="1125" priority="78" stopIfTrue="1" operator="equal">
      <formula>"NB"</formula>
    </cfRule>
    <cfRule type="cellIs" dxfId="1124" priority="79" stopIfTrue="1" operator="equal">
      <formula>0</formula>
    </cfRule>
  </conditionalFormatting>
  <conditionalFormatting sqref="T6:X8 T15:X21 T25:X27 T30:X35 Z25:Z26">
    <cfRule type="cellIs" priority="72" stopIfTrue="1" operator="equal">
      <formula>"B"</formula>
    </cfRule>
    <cfRule type="cellIs" dxfId="1123" priority="73" stopIfTrue="1" operator="equal">
      <formula>"M"</formula>
    </cfRule>
    <cfRule type="cellIs" dxfId="1122" priority="74" stopIfTrue="1" operator="equal">
      <formula>"NB"</formula>
    </cfRule>
    <cfRule type="cellIs" dxfId="1121" priority="75" stopIfTrue="1" operator="equal">
      <formula>0</formula>
    </cfRule>
  </conditionalFormatting>
  <conditionalFormatting sqref="Y6:Z8 Y18:Z22 Y27:Z27 Y30:Z35">
    <cfRule type="cellIs" dxfId="1120" priority="68" stopIfTrue="1" operator="equal">
      <formula>"B"</formula>
    </cfRule>
    <cfRule type="cellIs" dxfId="1119" priority="69" stopIfTrue="1" operator="equal">
      <formula>"M"</formula>
    </cfRule>
    <cfRule type="cellIs" dxfId="1118" priority="70" stopIfTrue="1" operator="between">
      <formula>"NB"</formula>
      <formula>"NB^"</formula>
    </cfRule>
  </conditionalFormatting>
  <conditionalFormatting sqref="Y28:Y29">
    <cfRule type="cellIs" dxfId="1117" priority="71" stopIfTrue="1" operator="equal">
      <formula>0</formula>
    </cfRule>
  </conditionalFormatting>
  <conditionalFormatting sqref="Y15:Z17">
    <cfRule type="cellIs" priority="64" stopIfTrue="1" operator="equal">
      <formula>"B"</formula>
    </cfRule>
    <cfRule type="cellIs" dxfId="1116" priority="65" stopIfTrue="1" operator="equal">
      <formula>"M"</formula>
    </cfRule>
    <cfRule type="cellIs" dxfId="1115" priority="66" stopIfTrue="1" operator="equal">
      <formula>"NB"</formula>
    </cfRule>
    <cfRule type="cellIs" dxfId="1114" priority="67" stopIfTrue="1" operator="equal">
      <formula>0</formula>
    </cfRule>
  </conditionalFormatting>
  <conditionalFormatting sqref="Y9:Y14 Y23:Y24">
    <cfRule type="cellIs" priority="60" stopIfTrue="1" operator="equal">
      <formula>"B"</formula>
    </cfRule>
    <cfRule type="cellIs" dxfId="1113" priority="61" stopIfTrue="1" operator="equal">
      <formula>"M"</formula>
    </cfRule>
    <cfRule type="cellIs" dxfId="1112" priority="62" stopIfTrue="1" operator="equal">
      <formula>"NB"</formula>
    </cfRule>
    <cfRule type="cellIs" dxfId="1111" priority="63" stopIfTrue="1" operator="equal">
      <formula>0</formula>
    </cfRule>
  </conditionalFormatting>
  <conditionalFormatting sqref="Y25:Y27 Y6:Z8 Y15:Z21 Z27 Y30:Z35">
    <cfRule type="cellIs" priority="56" stopIfTrue="1" operator="equal">
      <formula>"B"</formula>
    </cfRule>
    <cfRule type="cellIs" dxfId="1110" priority="57" stopIfTrue="1" operator="equal">
      <formula>"M"</formula>
    </cfRule>
    <cfRule type="cellIs" dxfId="1109" priority="58" stopIfTrue="1" operator="equal">
      <formula>"NB"</formula>
    </cfRule>
    <cfRule type="cellIs" dxfId="1108" priority="59" stopIfTrue="1" operator="equal">
      <formula>0</formula>
    </cfRule>
  </conditionalFormatting>
  <conditionalFormatting sqref="AA28:AD29">
    <cfRule type="cellIs" dxfId="1107" priority="55" stopIfTrue="1" operator="equal">
      <formula>0</formula>
    </cfRule>
  </conditionalFormatting>
  <conditionalFormatting sqref="AA23:AD24 AA9:AD14">
    <cfRule type="cellIs" priority="51" stopIfTrue="1" operator="equal">
      <formula>"B"</formula>
    </cfRule>
    <cfRule type="cellIs" dxfId="1106" priority="52" stopIfTrue="1" operator="equal">
      <formula>"M"</formula>
    </cfRule>
    <cfRule type="cellIs" dxfId="1105" priority="53" stopIfTrue="1" operator="equal">
      <formula>"NB"</formula>
    </cfRule>
    <cfRule type="cellIs" dxfId="1104" priority="54" stopIfTrue="1" operator="equal">
      <formula>0</formula>
    </cfRule>
  </conditionalFormatting>
  <conditionalFormatting sqref="AA25:AD26">
    <cfRule type="cellIs" priority="47" stopIfTrue="1" operator="equal">
      <formula>"B"</formula>
    </cfRule>
    <cfRule type="cellIs" dxfId="1103" priority="48" stopIfTrue="1" operator="equal">
      <formula>"M"</formula>
    </cfRule>
    <cfRule type="cellIs" dxfId="1102" priority="49" stopIfTrue="1" operator="equal">
      <formula>"NB"</formula>
    </cfRule>
    <cfRule type="cellIs" dxfId="1101" priority="50" stopIfTrue="1" operator="equal">
      <formula>0</formula>
    </cfRule>
  </conditionalFormatting>
  <conditionalFormatting sqref="AA6:AD8 AA18:AD22 AA27:AD27 AA30:AD35">
    <cfRule type="cellIs" dxfId="1100" priority="44" stopIfTrue="1" operator="equal">
      <formula>"B"</formula>
    </cfRule>
    <cfRule type="cellIs" dxfId="1099" priority="45" stopIfTrue="1" operator="equal">
      <formula>"M"</formula>
    </cfRule>
    <cfRule type="cellIs" dxfId="1098" priority="46" stopIfTrue="1" operator="between">
      <formula>"NB"</formula>
      <formula>"NB^"</formula>
    </cfRule>
  </conditionalFormatting>
  <conditionalFormatting sqref="AA15:AD17">
    <cfRule type="cellIs" priority="40" stopIfTrue="1" operator="equal">
      <formula>"B"</formula>
    </cfRule>
    <cfRule type="cellIs" dxfId="1097" priority="41" stopIfTrue="1" operator="equal">
      <formula>"M"</formula>
    </cfRule>
    <cfRule type="cellIs" dxfId="1096" priority="42" stopIfTrue="1" operator="equal">
      <formula>"NB"</formula>
    </cfRule>
    <cfRule type="cellIs" dxfId="1095" priority="43" stopIfTrue="1" operator="equal">
      <formula>0</formula>
    </cfRule>
  </conditionalFormatting>
  <conditionalFormatting sqref="AA6:AD8 AA15:AD21 AA27:AD27 AA30:AD35">
    <cfRule type="cellIs" priority="36" stopIfTrue="1" operator="equal">
      <formula>"B"</formula>
    </cfRule>
    <cfRule type="cellIs" dxfId="1094" priority="37" stopIfTrue="1" operator="equal">
      <formula>"M"</formula>
    </cfRule>
    <cfRule type="cellIs" dxfId="1093" priority="38" stopIfTrue="1" operator="equal">
      <formula>"NB"</formula>
    </cfRule>
    <cfRule type="cellIs" dxfId="1092" priority="39" stopIfTrue="1" operator="equal">
      <formula>0</formula>
    </cfRule>
  </conditionalFormatting>
  <conditionalFormatting sqref="AE28:AF29">
    <cfRule type="cellIs" dxfId="1091" priority="35" stopIfTrue="1" operator="equal">
      <formula>0</formula>
    </cfRule>
  </conditionalFormatting>
  <conditionalFormatting sqref="AE9:AF14 AE23:AG24">
    <cfRule type="cellIs" priority="31" stopIfTrue="1" operator="equal">
      <formula>"B"</formula>
    </cfRule>
    <cfRule type="cellIs" dxfId="1090" priority="32" stopIfTrue="1" operator="equal">
      <formula>"M"</formula>
    </cfRule>
    <cfRule type="cellIs" dxfId="1089" priority="33" stopIfTrue="1" operator="equal">
      <formula>"NB"</formula>
    </cfRule>
    <cfRule type="cellIs" dxfId="1088" priority="34" stopIfTrue="1" operator="equal">
      <formula>0</formula>
    </cfRule>
  </conditionalFormatting>
  <conditionalFormatting sqref="AE25:AF26">
    <cfRule type="cellIs" priority="27" stopIfTrue="1" operator="equal">
      <formula>"B"</formula>
    </cfRule>
    <cfRule type="cellIs" dxfId="1087" priority="28" stopIfTrue="1" operator="equal">
      <formula>"M"</formula>
    </cfRule>
    <cfRule type="cellIs" dxfId="1086" priority="29" stopIfTrue="1" operator="equal">
      <formula>"NB"</formula>
    </cfRule>
    <cfRule type="cellIs" dxfId="1085" priority="30" stopIfTrue="1" operator="equal">
      <formula>0</formula>
    </cfRule>
  </conditionalFormatting>
  <conditionalFormatting sqref="AE6:AF8 AE18:AF22 AE27:AF27 AE30:AF35">
    <cfRule type="cellIs" dxfId="1084" priority="24" stopIfTrue="1" operator="equal">
      <formula>"B"</formula>
    </cfRule>
    <cfRule type="cellIs" dxfId="1083" priority="25" stopIfTrue="1" operator="equal">
      <formula>"M"</formula>
    </cfRule>
    <cfRule type="cellIs" dxfId="1082" priority="26" stopIfTrue="1" operator="between">
      <formula>"NB"</formula>
      <formula>"NB^"</formula>
    </cfRule>
  </conditionalFormatting>
  <conditionalFormatting sqref="AE15:AF17">
    <cfRule type="cellIs" priority="20" stopIfTrue="1" operator="equal">
      <formula>"B"</formula>
    </cfRule>
    <cfRule type="cellIs" dxfId="1081" priority="21" stopIfTrue="1" operator="equal">
      <formula>"M"</formula>
    </cfRule>
    <cfRule type="cellIs" dxfId="1080" priority="22" stopIfTrue="1" operator="equal">
      <formula>"NB"</formula>
    </cfRule>
    <cfRule type="cellIs" dxfId="1079" priority="23" stopIfTrue="1" operator="equal">
      <formula>0</formula>
    </cfRule>
  </conditionalFormatting>
  <conditionalFormatting sqref="AE6:AF8 AE15:AF21 AE27:AF27 AE30:AF35">
    <cfRule type="cellIs" priority="16" stopIfTrue="1" operator="equal">
      <formula>"B"</formula>
    </cfRule>
    <cfRule type="cellIs" dxfId="1078" priority="17" stopIfTrue="1" operator="equal">
      <formula>"M"</formula>
    </cfRule>
    <cfRule type="cellIs" dxfId="1077" priority="18" stopIfTrue="1" operator="equal">
      <formula>"NB"</formula>
    </cfRule>
    <cfRule type="cellIs" dxfId="1076" priority="19" stopIfTrue="1" operator="equal">
      <formula>0</formula>
    </cfRule>
  </conditionalFormatting>
  <conditionalFormatting sqref="AH25:AH26">
    <cfRule type="cellIs" dxfId="1075" priority="13" stopIfTrue="1" operator="equal">
      <formula>"B"</formula>
    </cfRule>
    <cfRule type="cellIs" dxfId="1074" priority="14" stopIfTrue="1" operator="equal">
      <formula>"M"</formula>
    </cfRule>
    <cfRule type="cellIs" dxfId="1073" priority="15" stopIfTrue="1" operator="between">
      <formula>"NB"</formula>
      <formula>"NB^"</formula>
    </cfRule>
  </conditionalFormatting>
  <conditionalFormatting sqref="AH18:AH22 AH30:AH35 AH27 AH6:AH14">
    <cfRule type="cellIs" dxfId="1072" priority="9" stopIfTrue="1" operator="equal">
      <formula>"B"</formula>
    </cfRule>
    <cfRule type="cellIs" dxfId="1071" priority="10" stopIfTrue="1" operator="equal">
      <formula>"M"</formula>
    </cfRule>
    <cfRule type="cellIs" dxfId="1070" priority="11" stopIfTrue="1" operator="between">
      <formula>"NB"</formula>
      <formula>"NB^"</formula>
    </cfRule>
  </conditionalFormatting>
  <conditionalFormatting sqref="AH28:AH29">
    <cfRule type="cellIs" dxfId="1069" priority="12" stopIfTrue="1" operator="equal">
      <formula>0</formula>
    </cfRule>
  </conditionalFormatting>
  <conditionalFormatting sqref="AH15:AH17">
    <cfRule type="cellIs" priority="5" stopIfTrue="1" operator="equal">
      <formula>"B"</formula>
    </cfRule>
    <cfRule type="cellIs" dxfId="1068" priority="6" stopIfTrue="1" operator="equal">
      <formula>"M"</formula>
    </cfRule>
    <cfRule type="cellIs" dxfId="1067" priority="7" stopIfTrue="1" operator="equal">
      <formula>"NB"</formula>
    </cfRule>
    <cfRule type="cellIs" dxfId="1066" priority="8" stopIfTrue="1" operator="equal">
      <formula>0</formula>
    </cfRule>
  </conditionalFormatting>
  <conditionalFormatting sqref="AH23:AH24">
    <cfRule type="cellIs" priority="1" stopIfTrue="1" operator="equal">
      <formula>"B"</formula>
    </cfRule>
    <cfRule type="cellIs" dxfId="1065" priority="2" stopIfTrue="1" operator="equal">
      <formula>"M"</formula>
    </cfRule>
    <cfRule type="cellIs" dxfId="1064" priority="3" stopIfTrue="1" operator="equal">
      <formula>"NB"</formula>
    </cfRule>
    <cfRule type="cellIs" dxfId="1063" priority="4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Q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91</v>
      </c>
    </row>
    <row r="3" spans="1:43" ht="23.25" x14ac:dyDescent="0.35">
      <c r="A3" s="1" t="s">
        <v>2</v>
      </c>
      <c r="P3" s="4" t="s">
        <v>157</v>
      </c>
    </row>
    <row r="4" spans="1:43" s="5" customFormat="1" ht="15.75" customHeight="1" thickBot="1" x14ac:dyDescent="0.3">
      <c r="C4" s="6"/>
      <c r="G4" s="5" t="s">
        <v>3</v>
      </c>
      <c r="H4" s="6" t="s">
        <v>3</v>
      </c>
      <c r="N4" s="5" t="s">
        <v>3</v>
      </c>
      <c r="O4" s="6" t="s">
        <v>3</v>
      </c>
      <c r="U4" s="5" t="s">
        <v>3</v>
      </c>
      <c r="V4" s="5" t="s">
        <v>3</v>
      </c>
      <c r="AB4" s="5" t="s">
        <v>3</v>
      </c>
      <c r="AC4" s="5" t="s">
        <v>3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41" t="s">
        <v>7</v>
      </c>
      <c r="B6" s="142"/>
      <c r="C6" s="143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8</v>
      </c>
      <c r="J6" s="72" t="s">
        <v>8</v>
      </c>
      <c r="K6" s="72" t="s">
        <v>8</v>
      </c>
      <c r="L6" s="72" t="s">
        <v>9</v>
      </c>
      <c r="M6" s="72" t="s">
        <v>9</v>
      </c>
      <c r="N6" s="72" t="s">
        <v>9</v>
      </c>
      <c r="O6" s="72" t="s">
        <v>9</v>
      </c>
      <c r="P6" s="72" t="s">
        <v>8</v>
      </c>
      <c r="Q6" s="72" t="s">
        <v>9</v>
      </c>
      <c r="R6" s="72" t="s">
        <v>9</v>
      </c>
      <c r="S6" s="72" t="s">
        <v>8</v>
      </c>
      <c r="T6" s="72" t="s">
        <v>8</v>
      </c>
      <c r="U6" s="72" t="s">
        <v>8</v>
      </c>
      <c r="V6" s="72" t="s">
        <v>8</v>
      </c>
      <c r="W6" s="72" t="s">
        <v>8</v>
      </c>
      <c r="X6" s="72" t="s">
        <v>8</v>
      </c>
      <c r="Y6" s="72" t="s">
        <v>9</v>
      </c>
      <c r="Z6" s="72" t="s">
        <v>9</v>
      </c>
      <c r="AA6" s="72" t="s">
        <v>9</v>
      </c>
      <c r="AB6" s="72" t="s">
        <v>9</v>
      </c>
      <c r="AC6" s="72" t="s">
        <v>9</v>
      </c>
      <c r="AD6" s="72" t="s">
        <v>9</v>
      </c>
      <c r="AE6" s="72" t="s">
        <v>22</v>
      </c>
      <c r="AF6" s="72" t="s">
        <v>9</v>
      </c>
      <c r="AG6" s="72" t="s">
        <v>8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25">
      <c r="A7" s="138" t="s">
        <v>10</v>
      </c>
      <c r="B7" s="139"/>
      <c r="C7" s="140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14" t="s">
        <v>11</v>
      </c>
      <c r="AD7" s="14" t="s">
        <v>11</v>
      </c>
      <c r="AE7" s="14" t="s">
        <v>22</v>
      </c>
      <c r="AF7" s="14" t="s">
        <v>11</v>
      </c>
      <c r="AG7" s="14" t="s">
        <v>11</v>
      </c>
      <c r="AH7" s="17">
        <f t="shared" si="0"/>
        <v>1</v>
      </c>
    </row>
    <row r="8" spans="1:43" ht="15.75" customHeight="1" x14ac:dyDescent="0.25">
      <c r="A8" s="144" t="s">
        <v>93</v>
      </c>
      <c r="B8" s="145"/>
      <c r="C8" s="146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22</v>
      </c>
      <c r="AF8" s="18" t="s">
        <v>11</v>
      </c>
      <c r="AG8" s="18" t="s">
        <v>11</v>
      </c>
      <c r="AH8" s="19">
        <f t="shared" si="0"/>
        <v>1</v>
      </c>
    </row>
    <row r="9" spans="1:43" ht="15.75" customHeight="1" x14ac:dyDescent="0.25">
      <c r="A9" s="147" t="s">
        <v>13</v>
      </c>
      <c r="B9" s="148"/>
      <c r="C9" s="149"/>
      <c r="D9" s="20" t="s">
        <v>11</v>
      </c>
      <c r="E9" s="20" t="s">
        <v>11</v>
      </c>
      <c r="F9" s="20" t="s">
        <v>11</v>
      </c>
      <c r="G9" s="20" t="s">
        <v>11</v>
      </c>
      <c r="H9" s="20" t="s">
        <v>11</v>
      </c>
      <c r="I9" s="20" t="s">
        <v>11</v>
      </c>
      <c r="J9" s="20" t="s">
        <v>11</v>
      </c>
      <c r="K9" s="20" t="s">
        <v>11</v>
      </c>
      <c r="L9" s="20" t="s">
        <v>11</v>
      </c>
      <c r="M9" s="20" t="s">
        <v>11</v>
      </c>
      <c r="N9" s="20" t="s">
        <v>11</v>
      </c>
      <c r="O9" s="20" t="s">
        <v>11</v>
      </c>
      <c r="P9" s="20" t="s">
        <v>11</v>
      </c>
      <c r="Q9" s="20" t="s">
        <v>11</v>
      </c>
      <c r="R9" s="20" t="s">
        <v>11</v>
      </c>
      <c r="S9" s="20" t="s">
        <v>11</v>
      </c>
      <c r="T9" s="20" t="s">
        <v>11</v>
      </c>
      <c r="U9" s="20" t="s">
        <v>11</v>
      </c>
      <c r="V9" s="20" t="s">
        <v>11</v>
      </c>
      <c r="W9" s="20" t="s">
        <v>11</v>
      </c>
      <c r="X9" s="20" t="s">
        <v>11</v>
      </c>
      <c r="Y9" s="20" t="s">
        <v>11</v>
      </c>
      <c r="Z9" s="20" t="s">
        <v>11</v>
      </c>
      <c r="AA9" s="20" t="s">
        <v>11</v>
      </c>
      <c r="AB9" s="20" t="s">
        <v>11</v>
      </c>
      <c r="AC9" s="20" t="s">
        <v>11</v>
      </c>
      <c r="AD9" s="20" t="s">
        <v>11</v>
      </c>
      <c r="AE9" s="79" t="s">
        <v>11</v>
      </c>
      <c r="AF9" s="20" t="s">
        <v>11</v>
      </c>
      <c r="AG9" s="20" t="s">
        <v>11</v>
      </c>
      <c r="AH9" s="13">
        <f t="shared" si="0"/>
        <v>1</v>
      </c>
    </row>
    <row r="10" spans="1:43" ht="15.75" customHeight="1" x14ac:dyDescent="0.25">
      <c r="A10" s="150" t="s">
        <v>14</v>
      </c>
      <c r="B10" s="151"/>
      <c r="C10" s="152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80" t="s">
        <v>11</v>
      </c>
      <c r="AF10" s="16" t="s">
        <v>11</v>
      </c>
      <c r="AG10" s="16" t="s">
        <v>11</v>
      </c>
      <c r="AH10" s="21">
        <f t="shared" si="0"/>
        <v>1</v>
      </c>
    </row>
    <row r="11" spans="1:43" ht="15.75" customHeight="1" x14ac:dyDescent="0.25">
      <c r="A11" s="150" t="s">
        <v>15</v>
      </c>
      <c r="B11" s="151"/>
      <c r="C11" s="152"/>
      <c r="D11" s="16" t="s">
        <v>11</v>
      </c>
      <c r="E11" s="16" t="s">
        <v>11</v>
      </c>
      <c r="F11" s="16" t="s">
        <v>11</v>
      </c>
      <c r="G11" s="16" t="s">
        <v>11</v>
      </c>
      <c r="H11" s="16" t="s">
        <v>11</v>
      </c>
      <c r="I11" s="16" t="s">
        <v>11</v>
      </c>
      <c r="J11" s="16" t="s">
        <v>11</v>
      </c>
      <c r="K11" s="16" t="s">
        <v>11</v>
      </c>
      <c r="L11" s="16" t="s">
        <v>11</v>
      </c>
      <c r="M11" s="16" t="s">
        <v>11</v>
      </c>
      <c r="N11" s="16" t="s">
        <v>11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80" t="s">
        <v>11</v>
      </c>
      <c r="AF11" s="16" t="s">
        <v>11</v>
      </c>
      <c r="AG11" s="16" t="s">
        <v>11</v>
      </c>
      <c r="AH11" s="21">
        <f t="shared" si="0"/>
        <v>1</v>
      </c>
    </row>
    <row r="12" spans="1:43" ht="15.75" customHeight="1" x14ac:dyDescent="0.25">
      <c r="A12" s="150" t="s">
        <v>16</v>
      </c>
      <c r="B12" s="151"/>
      <c r="C12" s="152"/>
      <c r="D12" s="16" t="s">
        <v>11</v>
      </c>
      <c r="E12" s="16" t="s">
        <v>11</v>
      </c>
      <c r="F12" s="16" t="s">
        <v>11</v>
      </c>
      <c r="G12" s="16" t="s">
        <v>11</v>
      </c>
      <c r="H12" s="16" t="s">
        <v>11</v>
      </c>
      <c r="I12" s="16" t="s">
        <v>11</v>
      </c>
      <c r="J12" s="16" t="s">
        <v>11</v>
      </c>
      <c r="K12" s="16" t="s">
        <v>11</v>
      </c>
      <c r="L12" s="16" t="s">
        <v>11</v>
      </c>
      <c r="M12" s="16" t="s">
        <v>11</v>
      </c>
      <c r="N12" s="16" t="s">
        <v>11</v>
      </c>
      <c r="O12" s="16" t="s">
        <v>11</v>
      </c>
      <c r="P12" s="16" t="s">
        <v>11</v>
      </c>
      <c r="Q12" s="16" t="s">
        <v>11</v>
      </c>
      <c r="R12" s="16" t="s">
        <v>11</v>
      </c>
      <c r="S12" s="16" t="s">
        <v>11</v>
      </c>
      <c r="T12" s="16" t="s">
        <v>11</v>
      </c>
      <c r="U12" s="16" t="s">
        <v>11</v>
      </c>
      <c r="V12" s="16" t="s">
        <v>11</v>
      </c>
      <c r="W12" s="16" t="s">
        <v>11</v>
      </c>
      <c r="X12" s="16" t="s">
        <v>11</v>
      </c>
      <c r="Y12" s="16" t="s">
        <v>11</v>
      </c>
      <c r="Z12" s="16" t="s">
        <v>11</v>
      </c>
      <c r="AA12" s="16" t="s">
        <v>11</v>
      </c>
      <c r="AB12" s="16" t="s">
        <v>11</v>
      </c>
      <c r="AC12" s="16" t="s">
        <v>11</v>
      </c>
      <c r="AD12" s="16" t="s">
        <v>11</v>
      </c>
      <c r="AE12" s="80" t="s">
        <v>11</v>
      </c>
      <c r="AF12" s="16" t="s">
        <v>11</v>
      </c>
      <c r="AG12" s="16" t="s">
        <v>11</v>
      </c>
      <c r="AH12" s="21">
        <f t="shared" si="0"/>
        <v>1</v>
      </c>
    </row>
    <row r="13" spans="1:43" ht="15.75" customHeight="1" x14ac:dyDescent="0.25">
      <c r="A13" s="150" t="s">
        <v>17</v>
      </c>
      <c r="B13" s="151"/>
      <c r="C13" s="152"/>
      <c r="D13" s="16" t="s">
        <v>11</v>
      </c>
      <c r="E13" s="16" t="s">
        <v>11</v>
      </c>
      <c r="F13" s="16" t="s">
        <v>11</v>
      </c>
      <c r="G13" s="16" t="s">
        <v>11</v>
      </c>
      <c r="H13" s="16" t="s">
        <v>11</v>
      </c>
      <c r="I13" s="16" t="s">
        <v>11</v>
      </c>
      <c r="J13" s="16" t="s">
        <v>11</v>
      </c>
      <c r="K13" s="16" t="s">
        <v>11</v>
      </c>
      <c r="L13" s="16" t="s">
        <v>11</v>
      </c>
      <c r="M13" s="16" t="s">
        <v>11</v>
      </c>
      <c r="N13" s="16" t="s">
        <v>11</v>
      </c>
      <c r="O13" s="16" t="s">
        <v>11</v>
      </c>
      <c r="P13" s="16" t="s">
        <v>11</v>
      </c>
      <c r="Q13" s="16" t="s">
        <v>11</v>
      </c>
      <c r="R13" s="16" t="s">
        <v>11</v>
      </c>
      <c r="S13" s="16" t="s">
        <v>11</v>
      </c>
      <c r="T13" s="16" t="s">
        <v>11</v>
      </c>
      <c r="U13" s="16" t="s">
        <v>11</v>
      </c>
      <c r="V13" s="16" t="s">
        <v>11</v>
      </c>
      <c r="W13" s="16" t="s">
        <v>11</v>
      </c>
      <c r="X13" s="16" t="s">
        <v>11</v>
      </c>
      <c r="Y13" s="16" t="s">
        <v>11</v>
      </c>
      <c r="Z13" s="16" t="s">
        <v>11</v>
      </c>
      <c r="AA13" s="16" t="s">
        <v>11</v>
      </c>
      <c r="AB13" s="16" t="s">
        <v>11</v>
      </c>
      <c r="AC13" s="16" t="s">
        <v>11</v>
      </c>
      <c r="AD13" s="16" t="s">
        <v>11</v>
      </c>
      <c r="AE13" s="80" t="s">
        <v>11</v>
      </c>
      <c r="AF13" s="16" t="s">
        <v>11</v>
      </c>
      <c r="AG13" s="16" t="s">
        <v>11</v>
      </c>
      <c r="AH13" s="21">
        <f t="shared" si="0"/>
        <v>1</v>
      </c>
    </row>
    <row r="14" spans="1:43" ht="15.75" customHeight="1" x14ac:dyDescent="0.25">
      <c r="A14" s="138" t="s">
        <v>18</v>
      </c>
      <c r="B14" s="139"/>
      <c r="C14" s="14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17">
        <f t="shared" si="0"/>
        <v>1</v>
      </c>
    </row>
    <row r="15" spans="1:43" ht="15.75" customHeight="1" x14ac:dyDescent="0.25">
      <c r="A15" s="147" t="s">
        <v>19</v>
      </c>
      <c r="B15" s="148"/>
      <c r="C15" s="149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20" t="s">
        <v>11</v>
      </c>
      <c r="AD15" s="20" t="s">
        <v>11</v>
      </c>
      <c r="AE15" s="20" t="s">
        <v>22</v>
      </c>
      <c r="AF15" s="20" t="s">
        <v>11</v>
      </c>
      <c r="AG15" s="20" t="s">
        <v>11</v>
      </c>
      <c r="AH15" s="13">
        <f t="shared" si="0"/>
        <v>1</v>
      </c>
    </row>
    <row r="16" spans="1:43" ht="15.75" customHeight="1" x14ac:dyDescent="0.25">
      <c r="A16" s="150" t="s">
        <v>20</v>
      </c>
      <c r="B16" s="151"/>
      <c r="C16" s="152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6" t="s">
        <v>11</v>
      </c>
      <c r="AD16" s="16" t="s">
        <v>11</v>
      </c>
      <c r="AE16" s="16" t="s">
        <v>22</v>
      </c>
      <c r="AF16" s="16" t="s">
        <v>11</v>
      </c>
      <c r="AG16" s="16" t="s">
        <v>11</v>
      </c>
      <c r="AH16" s="21">
        <f t="shared" si="0"/>
        <v>1</v>
      </c>
    </row>
    <row r="17" spans="1:34" ht="15.75" customHeight="1" x14ac:dyDescent="0.25">
      <c r="A17" s="138" t="s">
        <v>92</v>
      </c>
      <c r="B17" s="139"/>
      <c r="C17" s="140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6" t="s">
        <v>11</v>
      </c>
      <c r="AD17" s="16" t="s">
        <v>11</v>
      </c>
      <c r="AE17" s="16" t="s">
        <v>22</v>
      </c>
      <c r="AF17" s="16" t="s">
        <v>11</v>
      </c>
      <c r="AG17" s="16" t="s">
        <v>11</v>
      </c>
      <c r="AH17" s="17">
        <f t="shared" si="0"/>
        <v>1</v>
      </c>
    </row>
    <row r="18" spans="1:34" ht="15.75" customHeight="1" x14ac:dyDescent="0.25">
      <c r="A18" s="147" t="s">
        <v>21</v>
      </c>
      <c r="B18" s="148"/>
      <c r="C18" s="149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79" t="s">
        <v>11</v>
      </c>
      <c r="AA18" s="79" t="s">
        <v>11</v>
      </c>
      <c r="AB18" s="79" t="s">
        <v>11</v>
      </c>
      <c r="AC18" s="22" t="s">
        <v>11</v>
      </c>
      <c r="AD18" s="22" t="s">
        <v>11</v>
      </c>
      <c r="AE18" s="22" t="s">
        <v>22</v>
      </c>
      <c r="AF18" s="22" t="s">
        <v>11</v>
      </c>
      <c r="AG18" s="22" t="s">
        <v>11</v>
      </c>
      <c r="AH18" s="13">
        <f t="shared" si="0"/>
        <v>1</v>
      </c>
    </row>
    <row r="19" spans="1:34" ht="15.75" customHeight="1" x14ac:dyDescent="0.25">
      <c r="A19" s="150" t="s">
        <v>23</v>
      </c>
      <c r="B19" s="151"/>
      <c r="C19" s="152"/>
      <c r="D19" s="80" t="s">
        <v>11</v>
      </c>
      <c r="E19" s="80" t="s">
        <v>11</v>
      </c>
      <c r="F19" s="80" t="s">
        <v>11</v>
      </c>
      <c r="G19" s="80" t="s">
        <v>11</v>
      </c>
      <c r="H19" s="80" t="s">
        <v>11</v>
      </c>
      <c r="I19" s="80" t="s">
        <v>11</v>
      </c>
      <c r="J19" s="80" t="s">
        <v>11</v>
      </c>
      <c r="K19" s="80" t="s">
        <v>11</v>
      </c>
      <c r="L19" s="80" t="s">
        <v>11</v>
      </c>
      <c r="M19" s="80" t="s">
        <v>11</v>
      </c>
      <c r="N19" s="80" t="s">
        <v>11</v>
      </c>
      <c r="O19" s="80" t="s">
        <v>11</v>
      </c>
      <c r="P19" s="80" t="s">
        <v>11</v>
      </c>
      <c r="Q19" s="80" t="s">
        <v>11</v>
      </c>
      <c r="R19" s="80" t="s">
        <v>11</v>
      </c>
      <c r="S19" s="80" t="s">
        <v>11</v>
      </c>
      <c r="T19" s="80" t="s">
        <v>11</v>
      </c>
      <c r="U19" s="80" t="s">
        <v>11</v>
      </c>
      <c r="V19" s="80" t="s">
        <v>11</v>
      </c>
      <c r="W19" s="80" t="s">
        <v>11</v>
      </c>
      <c r="X19" s="80" t="s">
        <v>11</v>
      </c>
      <c r="Y19" s="80" t="s">
        <v>11</v>
      </c>
      <c r="Z19" s="80" t="s">
        <v>11</v>
      </c>
      <c r="AA19" s="80" t="s">
        <v>11</v>
      </c>
      <c r="AB19" s="80" t="s">
        <v>11</v>
      </c>
      <c r="AC19" s="23" t="s">
        <v>11</v>
      </c>
      <c r="AD19" s="23" t="s">
        <v>11</v>
      </c>
      <c r="AE19" s="23" t="s">
        <v>22</v>
      </c>
      <c r="AF19" s="23" t="s">
        <v>11</v>
      </c>
      <c r="AG19" s="23" t="s">
        <v>11</v>
      </c>
      <c r="AH19" s="21">
        <f t="shared" si="0"/>
        <v>1</v>
      </c>
    </row>
    <row r="20" spans="1:34" ht="15.75" customHeight="1" x14ac:dyDescent="0.25">
      <c r="A20" s="150" t="s">
        <v>24</v>
      </c>
      <c r="B20" s="151"/>
      <c r="C20" s="152"/>
      <c r="D20" s="80" t="s">
        <v>11</v>
      </c>
      <c r="E20" s="80" t="s">
        <v>11</v>
      </c>
      <c r="F20" s="80" t="s">
        <v>11</v>
      </c>
      <c r="G20" s="80" t="s">
        <v>11</v>
      </c>
      <c r="H20" s="80" t="s">
        <v>11</v>
      </c>
      <c r="I20" s="80" t="s">
        <v>11</v>
      </c>
      <c r="J20" s="80" t="s">
        <v>11</v>
      </c>
      <c r="K20" s="80" t="s">
        <v>11</v>
      </c>
      <c r="L20" s="80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80" t="s">
        <v>11</v>
      </c>
      <c r="W20" s="80" t="s">
        <v>11</v>
      </c>
      <c r="X20" s="80" t="s">
        <v>11</v>
      </c>
      <c r="Y20" s="80" t="s">
        <v>11</v>
      </c>
      <c r="Z20" s="80" t="s">
        <v>11</v>
      </c>
      <c r="AA20" s="80" t="s">
        <v>11</v>
      </c>
      <c r="AB20" s="80" t="s">
        <v>11</v>
      </c>
      <c r="AC20" s="23" t="s">
        <v>11</v>
      </c>
      <c r="AD20" s="23" t="s">
        <v>11</v>
      </c>
      <c r="AE20" s="23" t="s">
        <v>22</v>
      </c>
      <c r="AF20" s="23" t="s">
        <v>11</v>
      </c>
      <c r="AG20" s="23" t="s">
        <v>11</v>
      </c>
      <c r="AH20" s="21">
        <f t="shared" si="0"/>
        <v>1</v>
      </c>
    </row>
    <row r="21" spans="1:34" ht="15.75" customHeight="1" x14ac:dyDescent="0.25">
      <c r="A21" s="138" t="s">
        <v>25</v>
      </c>
      <c r="B21" s="139"/>
      <c r="C21" s="14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73" t="s">
        <v>11</v>
      </c>
      <c r="AA21" s="73" t="s">
        <v>11</v>
      </c>
      <c r="AB21" s="73" t="s">
        <v>11</v>
      </c>
      <c r="AC21" s="14" t="s">
        <v>11</v>
      </c>
      <c r="AD21" s="14" t="s">
        <v>11</v>
      </c>
      <c r="AE21" s="14" t="s">
        <v>22</v>
      </c>
      <c r="AF21" s="14" t="s">
        <v>11</v>
      </c>
      <c r="AG21" s="14" t="s">
        <v>11</v>
      </c>
      <c r="AH21" s="17">
        <f t="shared" si="0"/>
        <v>1</v>
      </c>
    </row>
    <row r="22" spans="1:34" ht="15.75" customHeight="1" x14ac:dyDescent="0.25">
      <c r="A22" s="144" t="s">
        <v>26</v>
      </c>
      <c r="B22" s="145"/>
      <c r="C22" s="146"/>
      <c r="D22" s="24" t="s">
        <v>11</v>
      </c>
      <c r="E22" s="24" t="s">
        <v>11</v>
      </c>
      <c r="F22" s="24" t="s">
        <v>11</v>
      </c>
      <c r="G22" s="24" t="s">
        <v>11</v>
      </c>
      <c r="H22" s="24" t="s">
        <v>11</v>
      </c>
      <c r="I22" s="24" t="s">
        <v>11</v>
      </c>
      <c r="J22" s="24" t="s">
        <v>11</v>
      </c>
      <c r="K22" s="24" t="s">
        <v>11</v>
      </c>
      <c r="L22" s="24" t="s">
        <v>11</v>
      </c>
      <c r="M22" s="24" t="s">
        <v>11</v>
      </c>
      <c r="N22" s="24" t="s">
        <v>11</v>
      </c>
      <c r="O22" s="81" t="s">
        <v>11</v>
      </c>
      <c r="P22" s="81" t="s">
        <v>11</v>
      </c>
      <c r="Q22" s="81" t="s">
        <v>11</v>
      </c>
      <c r="R22" s="81" t="s">
        <v>12</v>
      </c>
      <c r="S22" s="81" t="s">
        <v>11</v>
      </c>
      <c r="T22" s="81" t="s">
        <v>11</v>
      </c>
      <c r="U22" s="81" t="s">
        <v>11</v>
      </c>
      <c r="V22" s="81" t="s">
        <v>11</v>
      </c>
      <c r="W22" s="81" t="s">
        <v>11</v>
      </c>
      <c r="X22" s="81" t="s">
        <v>11</v>
      </c>
      <c r="Y22" s="81" t="s">
        <v>11</v>
      </c>
      <c r="Z22" s="81" t="s">
        <v>11</v>
      </c>
      <c r="AA22" s="81" t="s">
        <v>11</v>
      </c>
      <c r="AB22" s="81" t="s">
        <v>12</v>
      </c>
      <c r="AC22" s="81" t="s">
        <v>12</v>
      </c>
      <c r="AD22" s="81" t="s">
        <v>12</v>
      </c>
      <c r="AE22" s="81" t="s">
        <v>12</v>
      </c>
      <c r="AF22" s="81" t="s">
        <v>12</v>
      </c>
      <c r="AG22" s="81" t="s">
        <v>22</v>
      </c>
      <c r="AH22" s="19">
        <f t="shared" si="0"/>
        <v>0.8</v>
      </c>
    </row>
    <row r="23" spans="1:34" ht="15.75" customHeight="1" x14ac:dyDescent="0.25">
      <c r="A23" s="147" t="s">
        <v>27</v>
      </c>
      <c r="B23" s="148"/>
      <c r="C23" s="149"/>
      <c r="D23" s="22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0" t="s">
        <v>11</v>
      </c>
      <c r="AA23" s="20" t="s">
        <v>12</v>
      </c>
      <c r="AB23" s="20" t="s">
        <v>12</v>
      </c>
      <c r="AC23" s="22" t="s">
        <v>12</v>
      </c>
      <c r="AD23" s="22" t="s">
        <v>12</v>
      </c>
      <c r="AE23" s="22" t="s">
        <v>12</v>
      </c>
      <c r="AF23" s="22" t="s">
        <v>12</v>
      </c>
      <c r="AG23" s="22" t="s">
        <v>11</v>
      </c>
      <c r="AH23" s="13">
        <f t="shared" si="0"/>
        <v>0.8</v>
      </c>
    </row>
    <row r="24" spans="1:34" ht="15.75" customHeight="1" x14ac:dyDescent="0.25">
      <c r="A24" s="138" t="s">
        <v>28</v>
      </c>
      <c r="B24" s="139"/>
      <c r="C24" s="140"/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11</v>
      </c>
      <c r="N24" s="14" t="s">
        <v>11</v>
      </c>
      <c r="O24" s="14" t="s">
        <v>11</v>
      </c>
      <c r="P24" s="14" t="s">
        <v>11</v>
      </c>
      <c r="Q24" s="15" t="s">
        <v>11</v>
      </c>
      <c r="R24" s="15" t="s">
        <v>11</v>
      </c>
      <c r="S24" s="15" t="s">
        <v>11</v>
      </c>
      <c r="T24" s="15" t="s">
        <v>11</v>
      </c>
      <c r="U24" s="15" t="s">
        <v>11</v>
      </c>
      <c r="V24" s="15" t="s">
        <v>11</v>
      </c>
      <c r="W24" s="15" t="s">
        <v>11</v>
      </c>
      <c r="X24" s="15" t="s">
        <v>11</v>
      </c>
      <c r="Y24" s="15" t="s">
        <v>11</v>
      </c>
      <c r="Z24" s="15" t="s">
        <v>11</v>
      </c>
      <c r="AA24" s="15" t="s">
        <v>12</v>
      </c>
      <c r="AB24" s="15" t="s">
        <v>12</v>
      </c>
      <c r="AC24" s="14" t="s">
        <v>12</v>
      </c>
      <c r="AD24" s="14" t="s">
        <v>12</v>
      </c>
      <c r="AE24" s="14" t="s">
        <v>12</v>
      </c>
      <c r="AF24" s="14" t="s">
        <v>12</v>
      </c>
      <c r="AG24" s="14" t="s">
        <v>11</v>
      </c>
      <c r="AH24" s="17">
        <f t="shared" si="0"/>
        <v>0.8</v>
      </c>
    </row>
    <row r="25" spans="1:34" ht="15.75" customHeight="1" x14ac:dyDescent="0.25">
      <c r="A25" s="144" t="s">
        <v>29</v>
      </c>
      <c r="B25" s="145"/>
      <c r="C25" s="146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81" t="s">
        <v>11</v>
      </c>
      <c r="N25" s="81" t="s">
        <v>11</v>
      </c>
      <c r="O25" s="81" t="s">
        <v>11</v>
      </c>
      <c r="P25" s="81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5" t="s">
        <v>11</v>
      </c>
      <c r="AC25" s="81" t="s">
        <v>11</v>
      </c>
      <c r="AD25" s="81" t="s">
        <v>11</v>
      </c>
      <c r="AE25" s="81" t="s">
        <v>22</v>
      </c>
      <c r="AF25" s="81" t="s">
        <v>11</v>
      </c>
      <c r="AG25" s="81" t="s">
        <v>11</v>
      </c>
      <c r="AH25" s="19">
        <f t="shared" si="0"/>
        <v>1</v>
      </c>
    </row>
    <row r="26" spans="1:34" ht="15.75" customHeight="1" x14ac:dyDescent="0.25">
      <c r="A26" s="144" t="s">
        <v>30</v>
      </c>
      <c r="B26" s="145"/>
      <c r="C26" s="146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22</v>
      </c>
      <c r="AF26" s="81" t="s">
        <v>11</v>
      </c>
      <c r="AG26" s="81" t="s">
        <v>11</v>
      </c>
      <c r="AH26" s="19">
        <f t="shared" si="0"/>
        <v>1</v>
      </c>
    </row>
    <row r="27" spans="1:34" ht="15.75" customHeight="1" x14ac:dyDescent="0.25">
      <c r="A27" s="141" t="s">
        <v>31</v>
      </c>
      <c r="B27" s="142"/>
      <c r="C27" s="143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8</v>
      </c>
      <c r="I27" s="72" t="s">
        <v>8</v>
      </c>
      <c r="J27" s="72" t="s">
        <v>8</v>
      </c>
      <c r="K27" s="72" t="s">
        <v>8</v>
      </c>
      <c r="L27" s="72" t="s">
        <v>8</v>
      </c>
      <c r="M27" s="72" t="s">
        <v>8</v>
      </c>
      <c r="N27" s="72" t="s">
        <v>9</v>
      </c>
      <c r="O27" s="72" t="s">
        <v>9</v>
      </c>
      <c r="P27" s="72" t="s">
        <v>8</v>
      </c>
      <c r="Q27" s="72" t="s">
        <v>9</v>
      </c>
      <c r="R27" s="72" t="s">
        <v>9</v>
      </c>
      <c r="S27" s="72" t="s">
        <v>8</v>
      </c>
      <c r="T27" s="72" t="s">
        <v>8</v>
      </c>
      <c r="U27" s="72" t="s">
        <v>8</v>
      </c>
      <c r="V27" s="27" t="s">
        <v>8</v>
      </c>
      <c r="W27" s="27" t="s">
        <v>8</v>
      </c>
      <c r="X27" s="27" t="s">
        <v>8</v>
      </c>
      <c r="Y27" s="72" t="s">
        <v>9</v>
      </c>
      <c r="Z27" s="72" t="s">
        <v>9</v>
      </c>
      <c r="AA27" s="72" t="s">
        <v>9</v>
      </c>
      <c r="AB27" s="72" t="s">
        <v>9</v>
      </c>
      <c r="AC27" s="72" t="s">
        <v>9</v>
      </c>
      <c r="AD27" s="72" t="s">
        <v>9</v>
      </c>
      <c r="AE27" s="72" t="s">
        <v>22</v>
      </c>
      <c r="AF27" s="72" t="s">
        <v>9</v>
      </c>
      <c r="AG27" s="72" t="s">
        <v>9</v>
      </c>
      <c r="AH27" s="13">
        <f t="shared" si="0"/>
        <v>1</v>
      </c>
    </row>
    <row r="28" spans="1:34" ht="15.75" customHeight="1" x14ac:dyDescent="0.25">
      <c r="A28" s="156" t="s">
        <v>32</v>
      </c>
      <c r="B28" s="157"/>
      <c r="C28" s="158"/>
      <c r="D28" s="102" t="s">
        <v>142</v>
      </c>
      <c r="E28" s="102" t="s">
        <v>124</v>
      </c>
      <c r="F28" s="102">
        <v>2</v>
      </c>
      <c r="G28" s="102">
        <v>2</v>
      </c>
      <c r="H28" s="102" t="s">
        <v>118</v>
      </c>
      <c r="I28" s="102" t="s">
        <v>118</v>
      </c>
      <c r="J28" s="102" t="s">
        <v>118</v>
      </c>
      <c r="K28" s="102" t="s">
        <v>118</v>
      </c>
      <c r="L28" s="102" t="s">
        <v>118</v>
      </c>
      <c r="M28" s="102">
        <v>2</v>
      </c>
      <c r="N28" s="102">
        <v>2</v>
      </c>
      <c r="O28" s="102" t="s">
        <v>124</v>
      </c>
      <c r="P28" s="28" t="s">
        <v>124</v>
      </c>
      <c r="Q28" s="28" t="s">
        <v>142</v>
      </c>
      <c r="R28" s="28">
        <v>3</v>
      </c>
      <c r="S28" s="28" t="s">
        <v>124</v>
      </c>
      <c r="T28" s="28">
        <v>3</v>
      </c>
      <c r="U28" s="28">
        <v>3</v>
      </c>
      <c r="V28" s="28">
        <v>3</v>
      </c>
      <c r="W28" s="28">
        <v>3</v>
      </c>
      <c r="X28" s="28">
        <v>3</v>
      </c>
      <c r="Y28" s="28">
        <v>3</v>
      </c>
      <c r="Z28" s="28" t="s">
        <v>124</v>
      </c>
      <c r="AA28" s="28" t="s">
        <v>124</v>
      </c>
      <c r="AB28" s="28">
        <v>3</v>
      </c>
      <c r="AC28" s="82">
        <v>3</v>
      </c>
      <c r="AD28" s="82">
        <v>3</v>
      </c>
      <c r="AE28" s="82">
        <v>2</v>
      </c>
      <c r="AF28" s="82">
        <v>3</v>
      </c>
      <c r="AG28" s="82">
        <v>3</v>
      </c>
      <c r="AH28" s="17">
        <f t="shared" si="0"/>
        <v>1</v>
      </c>
    </row>
    <row r="29" spans="1:34" ht="15.75" customHeight="1" x14ac:dyDescent="0.25">
      <c r="A29" s="153" t="s">
        <v>99</v>
      </c>
      <c r="B29" s="154"/>
      <c r="C29" s="155"/>
      <c r="D29" s="83" t="s">
        <v>158</v>
      </c>
      <c r="E29" s="83" t="s">
        <v>159</v>
      </c>
      <c r="F29" s="83" t="s">
        <v>160</v>
      </c>
      <c r="G29" s="83">
        <v>4.5</v>
      </c>
      <c r="H29" s="83">
        <v>0.4</v>
      </c>
      <c r="I29" s="83">
        <v>2.7</v>
      </c>
      <c r="J29" s="83" t="s">
        <v>161</v>
      </c>
      <c r="K29" s="83" t="s">
        <v>162</v>
      </c>
      <c r="L29" s="83">
        <v>6</v>
      </c>
      <c r="M29" s="83">
        <v>2.4</v>
      </c>
      <c r="N29" s="83">
        <v>8.1999999999999993</v>
      </c>
      <c r="O29" s="83">
        <v>0.2</v>
      </c>
      <c r="P29" s="83">
        <v>3.7</v>
      </c>
      <c r="Q29" s="83" t="s">
        <v>163</v>
      </c>
      <c r="R29" s="83" t="s">
        <v>164</v>
      </c>
      <c r="S29" s="83" t="s">
        <v>166</v>
      </c>
      <c r="T29" s="83" t="s">
        <v>165</v>
      </c>
      <c r="U29" s="83">
        <v>10.9</v>
      </c>
      <c r="V29" s="83">
        <v>2.4</v>
      </c>
      <c r="W29" s="83">
        <v>11.3</v>
      </c>
      <c r="X29" s="83">
        <v>8.1999999999999993</v>
      </c>
      <c r="Y29" s="83">
        <v>3.2</v>
      </c>
      <c r="Z29" s="83" t="s">
        <v>168</v>
      </c>
      <c r="AA29" s="83">
        <v>12.9</v>
      </c>
      <c r="AB29" s="83">
        <v>6.6</v>
      </c>
      <c r="AC29" s="83">
        <v>3.6</v>
      </c>
      <c r="AD29" s="83">
        <v>12.2</v>
      </c>
      <c r="AE29" s="83" t="s">
        <v>169</v>
      </c>
      <c r="AF29" s="83" t="s">
        <v>170</v>
      </c>
      <c r="AG29" s="83" t="s">
        <v>171</v>
      </c>
      <c r="AH29" s="19">
        <f t="shared" si="0"/>
        <v>1</v>
      </c>
    </row>
    <row r="30" spans="1:34" ht="15.75" customHeight="1" x14ac:dyDescent="0.25">
      <c r="A30" s="165" t="s">
        <v>33</v>
      </c>
      <c r="B30" s="166"/>
      <c r="C30" s="167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8</v>
      </c>
      <c r="J30" s="84" t="s">
        <v>8</v>
      </c>
      <c r="K30" s="84" t="s">
        <v>8</v>
      </c>
      <c r="L30" s="84" t="s">
        <v>9</v>
      </c>
      <c r="M30" s="84" t="s">
        <v>8</v>
      </c>
      <c r="N30" s="84" t="s">
        <v>9</v>
      </c>
      <c r="O30" s="84" t="s">
        <v>9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8</v>
      </c>
      <c r="U30" s="84" t="s">
        <v>8</v>
      </c>
      <c r="V30" s="84" t="s">
        <v>8</v>
      </c>
      <c r="W30" s="84" t="s">
        <v>8</v>
      </c>
      <c r="X30" s="84" t="s">
        <v>8</v>
      </c>
      <c r="Y30" s="84" t="s">
        <v>9</v>
      </c>
      <c r="Z30" s="84" t="s">
        <v>9</v>
      </c>
      <c r="AA30" s="84" t="s">
        <v>9</v>
      </c>
      <c r="AB30" s="84" t="s">
        <v>9</v>
      </c>
      <c r="AC30" s="84" t="s">
        <v>9</v>
      </c>
      <c r="AD30" s="84" t="s">
        <v>9</v>
      </c>
      <c r="AE30" s="84" t="s">
        <v>22</v>
      </c>
      <c r="AF30" s="84" t="s">
        <v>9</v>
      </c>
      <c r="AG30" s="84" t="s">
        <v>8</v>
      </c>
      <c r="AH30" s="19">
        <f t="shared" si="0"/>
        <v>1</v>
      </c>
    </row>
    <row r="31" spans="1:34" ht="15.75" customHeight="1" x14ac:dyDescent="0.25">
      <c r="A31" s="141" t="s">
        <v>34</v>
      </c>
      <c r="B31" s="142"/>
      <c r="C31" s="143"/>
      <c r="D31" s="72" t="s">
        <v>8</v>
      </c>
      <c r="E31" s="72" t="s">
        <v>8</v>
      </c>
      <c r="F31" s="72" t="s">
        <v>8</v>
      </c>
      <c r="G31" s="72" t="s">
        <v>8</v>
      </c>
      <c r="H31" s="72" t="s">
        <v>8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9</v>
      </c>
      <c r="O31" s="72" t="s">
        <v>9</v>
      </c>
      <c r="P31" s="72" t="s">
        <v>8</v>
      </c>
      <c r="Q31" s="72" t="s">
        <v>8</v>
      </c>
      <c r="R31" s="72" t="s">
        <v>8</v>
      </c>
      <c r="S31" s="72" t="s">
        <v>8</v>
      </c>
      <c r="T31" s="72" t="s">
        <v>8</v>
      </c>
      <c r="U31" s="72" t="s">
        <v>8</v>
      </c>
      <c r="V31" s="72" t="s">
        <v>8</v>
      </c>
      <c r="W31" s="72" t="s">
        <v>8</v>
      </c>
      <c r="X31" s="72" t="s">
        <v>8</v>
      </c>
      <c r="Y31" s="72" t="s">
        <v>9</v>
      </c>
      <c r="Z31" s="72" t="s">
        <v>9</v>
      </c>
      <c r="AA31" s="72" t="s">
        <v>9</v>
      </c>
      <c r="AB31" s="72" t="s">
        <v>9</v>
      </c>
      <c r="AC31" s="72" t="s">
        <v>9</v>
      </c>
      <c r="AD31" s="72" t="s">
        <v>9</v>
      </c>
      <c r="AE31" s="72" t="s">
        <v>22</v>
      </c>
      <c r="AF31" s="72" t="s">
        <v>9</v>
      </c>
      <c r="AG31" s="72" t="s">
        <v>9</v>
      </c>
      <c r="AH31" s="13">
        <f t="shared" si="0"/>
        <v>1</v>
      </c>
    </row>
    <row r="32" spans="1:34" ht="15.75" customHeight="1" x14ac:dyDescent="0.25">
      <c r="A32" s="168" t="s">
        <v>35</v>
      </c>
      <c r="B32" s="169"/>
      <c r="C32" s="170"/>
      <c r="D32" s="85" t="s">
        <v>8</v>
      </c>
      <c r="E32" s="85" t="s">
        <v>8</v>
      </c>
      <c r="F32" s="85" t="s">
        <v>8</v>
      </c>
      <c r="G32" s="85" t="s">
        <v>8</v>
      </c>
      <c r="H32" s="85" t="s">
        <v>8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9</v>
      </c>
      <c r="O32" s="85" t="s">
        <v>9</v>
      </c>
      <c r="P32" s="85" t="s">
        <v>8</v>
      </c>
      <c r="Q32" s="85" t="s">
        <v>8</v>
      </c>
      <c r="R32" s="85" t="s">
        <v>8</v>
      </c>
      <c r="S32" s="85" t="s">
        <v>8</v>
      </c>
      <c r="T32" s="85" t="s">
        <v>8</v>
      </c>
      <c r="U32" s="85" t="s">
        <v>8</v>
      </c>
      <c r="V32" s="85" t="s">
        <v>8</v>
      </c>
      <c r="W32" s="85" t="s">
        <v>8</v>
      </c>
      <c r="X32" s="85" t="s">
        <v>8</v>
      </c>
      <c r="Y32" s="85" t="s">
        <v>9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9</v>
      </c>
      <c r="AE32" s="85" t="s">
        <v>22</v>
      </c>
      <c r="AF32" s="85" t="s">
        <v>9</v>
      </c>
      <c r="AG32" s="85" t="s">
        <v>9</v>
      </c>
      <c r="AH32" s="17">
        <f t="shared" si="0"/>
        <v>1</v>
      </c>
    </row>
    <row r="33" spans="1:43" ht="15.75" customHeight="1" x14ac:dyDescent="0.25">
      <c r="A33" s="144" t="s">
        <v>36</v>
      </c>
      <c r="B33" s="145"/>
      <c r="C33" s="146"/>
      <c r="D33" s="24" t="s">
        <v>11</v>
      </c>
      <c r="E33" s="24" t="s">
        <v>11</v>
      </c>
      <c r="F33" s="24" t="s">
        <v>11</v>
      </c>
      <c r="G33" s="24" t="s">
        <v>11</v>
      </c>
      <c r="H33" s="24" t="s">
        <v>11</v>
      </c>
      <c r="I33" s="24" t="s">
        <v>11</v>
      </c>
      <c r="J33" s="24" t="s">
        <v>11</v>
      </c>
      <c r="K33" s="24" t="s">
        <v>11</v>
      </c>
      <c r="L33" s="24" t="s">
        <v>11</v>
      </c>
      <c r="M33" s="24" t="s">
        <v>11</v>
      </c>
      <c r="N33" s="24" t="s">
        <v>11</v>
      </c>
      <c r="O33" s="24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25" t="s">
        <v>11</v>
      </c>
      <c r="X33" s="25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25" t="s">
        <v>11</v>
      </c>
      <c r="AD33" s="25" t="s">
        <v>11</v>
      </c>
      <c r="AE33" s="25" t="s">
        <v>22</v>
      </c>
      <c r="AF33" s="25" t="s">
        <v>11</v>
      </c>
      <c r="AG33" s="25" t="s">
        <v>11</v>
      </c>
      <c r="AH33" s="19">
        <f t="shared" si="0"/>
        <v>1</v>
      </c>
    </row>
    <row r="34" spans="1:43" ht="15.75" customHeight="1" x14ac:dyDescent="0.25">
      <c r="A34" s="144" t="s">
        <v>95</v>
      </c>
      <c r="B34" s="145"/>
      <c r="C34" s="146"/>
      <c r="D34" s="24" t="s">
        <v>11</v>
      </c>
      <c r="E34" s="24" t="s">
        <v>11</v>
      </c>
      <c r="F34" s="24" t="s">
        <v>11</v>
      </c>
      <c r="G34" s="24" t="s">
        <v>11</v>
      </c>
      <c r="H34" s="24" t="s">
        <v>11</v>
      </c>
      <c r="I34" s="24" t="s">
        <v>11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81" t="s">
        <v>11</v>
      </c>
      <c r="Q34" s="81" t="s">
        <v>11</v>
      </c>
      <c r="R34" s="81" t="s">
        <v>11</v>
      </c>
      <c r="S34" s="81" t="s">
        <v>11</v>
      </c>
      <c r="T34" s="81" t="s">
        <v>11</v>
      </c>
      <c r="U34" s="81" t="s">
        <v>11</v>
      </c>
      <c r="V34" s="81" t="s">
        <v>11</v>
      </c>
      <c r="W34" s="24" t="s">
        <v>11</v>
      </c>
      <c r="X34" s="24" t="s">
        <v>11</v>
      </c>
      <c r="Y34" s="81" t="s">
        <v>11</v>
      </c>
      <c r="Z34" s="81" t="s">
        <v>11</v>
      </c>
      <c r="AA34" s="81" t="s">
        <v>11</v>
      </c>
      <c r="AB34" s="81" t="s">
        <v>11</v>
      </c>
      <c r="AC34" s="24" t="s">
        <v>11</v>
      </c>
      <c r="AD34" s="24" t="s">
        <v>11</v>
      </c>
      <c r="AE34" s="24" t="s">
        <v>22</v>
      </c>
      <c r="AF34" s="24" t="s">
        <v>11</v>
      </c>
      <c r="AG34" s="24" t="s">
        <v>11</v>
      </c>
      <c r="AH34" s="19">
        <f>IF(COUNTA(D34:AG34)&gt;0,(COUNTA(D34:AG34)-COUNTIF(D34:AG34,"NB")-COUNTIF(D34:AG34,"DN")-COUNTIF(D34:AG34,"An")-COUNTIF(D34:AG34,"NB^")-COUNTIF(D34:AG34,0))/COUNTA(D34:AG34),"")</f>
        <v>1</v>
      </c>
    </row>
    <row r="35" spans="1:43" ht="15.75" customHeight="1" thickBot="1" x14ac:dyDescent="0.3">
      <c r="A35" s="171" t="s">
        <v>96</v>
      </c>
      <c r="B35" s="172"/>
      <c r="C35" s="173"/>
      <c r="D35" s="103" t="s">
        <v>11</v>
      </c>
      <c r="E35" s="103" t="s">
        <v>11</v>
      </c>
      <c r="F35" s="103" t="s">
        <v>11</v>
      </c>
      <c r="G35" s="103" t="s">
        <v>11</v>
      </c>
      <c r="H35" s="103" t="s">
        <v>11</v>
      </c>
      <c r="I35" s="103" t="s">
        <v>11</v>
      </c>
      <c r="J35" s="103" t="s">
        <v>11</v>
      </c>
      <c r="K35" s="103" t="s">
        <v>11</v>
      </c>
      <c r="L35" s="103" t="s">
        <v>11</v>
      </c>
      <c r="M35" s="103" t="s">
        <v>11</v>
      </c>
      <c r="N35" s="103" t="s">
        <v>11</v>
      </c>
      <c r="O35" s="103" t="s">
        <v>11</v>
      </c>
      <c r="P35" s="95" t="s">
        <v>11</v>
      </c>
      <c r="Q35" s="95" t="s">
        <v>11</v>
      </c>
      <c r="R35" s="95" t="s">
        <v>11</v>
      </c>
      <c r="S35" s="95" t="s">
        <v>11</v>
      </c>
      <c r="T35" s="95" t="s">
        <v>11</v>
      </c>
      <c r="U35" s="95" t="s">
        <v>11</v>
      </c>
      <c r="V35" s="95" t="s">
        <v>11</v>
      </c>
      <c r="W35" s="96" t="s">
        <v>11</v>
      </c>
      <c r="X35" s="96" t="s">
        <v>11</v>
      </c>
      <c r="Y35" s="95" t="s">
        <v>11</v>
      </c>
      <c r="Z35" s="95" t="s">
        <v>11</v>
      </c>
      <c r="AA35" s="95" t="s">
        <v>11</v>
      </c>
      <c r="AB35" s="95" t="s">
        <v>11</v>
      </c>
      <c r="AC35" s="96" t="s">
        <v>11</v>
      </c>
      <c r="AD35" s="96" t="s">
        <v>11</v>
      </c>
      <c r="AE35" s="96" t="s">
        <v>22</v>
      </c>
      <c r="AF35" s="96" t="s">
        <v>11</v>
      </c>
      <c r="AG35" s="96" t="s">
        <v>11</v>
      </c>
      <c r="AH35" s="98">
        <f t="shared" si="0"/>
        <v>1</v>
      </c>
    </row>
    <row r="36" spans="1:43" s="32" customFormat="1" ht="15.75" customHeight="1" x14ac:dyDescent="0.25">
      <c r="A36" s="162" t="s">
        <v>37</v>
      </c>
      <c r="B36" s="163"/>
      <c r="C36" s="164"/>
      <c r="D36" s="79">
        <v>17</v>
      </c>
      <c r="E36" s="79">
        <v>7</v>
      </c>
      <c r="F36" s="79">
        <v>71</v>
      </c>
      <c r="G36" s="79">
        <v>0</v>
      </c>
      <c r="H36" s="79">
        <v>0</v>
      </c>
      <c r="I36" s="79">
        <v>0</v>
      </c>
      <c r="J36" s="79">
        <v>0</v>
      </c>
      <c r="K36" s="79">
        <v>0</v>
      </c>
      <c r="L36" s="79">
        <v>0</v>
      </c>
      <c r="M36" s="79">
        <v>50</v>
      </c>
      <c r="N36" s="79">
        <v>50</v>
      </c>
      <c r="O36" s="79">
        <v>0</v>
      </c>
      <c r="P36" s="79">
        <v>0.5</v>
      </c>
      <c r="Q36" s="79">
        <v>0</v>
      </c>
      <c r="R36" s="79">
        <v>50</v>
      </c>
      <c r="S36" s="79" t="s">
        <v>167</v>
      </c>
      <c r="T36" s="79" t="s">
        <v>167</v>
      </c>
      <c r="U36" s="79" t="s">
        <v>167</v>
      </c>
      <c r="V36" s="79" t="s">
        <v>167</v>
      </c>
      <c r="W36" s="79" t="s">
        <v>167</v>
      </c>
      <c r="X36" s="79" t="s">
        <v>167</v>
      </c>
      <c r="Y36" s="79" t="s">
        <v>167</v>
      </c>
      <c r="Z36" s="79" t="s">
        <v>167</v>
      </c>
      <c r="AA36" s="79" t="s">
        <v>167</v>
      </c>
      <c r="AB36" s="79" t="s">
        <v>167</v>
      </c>
      <c r="AC36" s="79" t="s">
        <v>167</v>
      </c>
      <c r="AD36" s="79" t="s">
        <v>167</v>
      </c>
      <c r="AE36" s="79" t="s">
        <v>167</v>
      </c>
      <c r="AF36" s="79" t="s">
        <v>167</v>
      </c>
      <c r="AG36" s="79" t="s">
        <v>167</v>
      </c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100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35"/>
    </row>
    <row r="38" spans="1:43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5"/>
    </row>
    <row r="39" spans="1:43" ht="15.75" hidden="1" customHeight="1" x14ac:dyDescent="0.25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43" ht="15.75" customHeight="1" thickBot="1" x14ac:dyDescent="0.3">
      <c r="D40" s="39"/>
      <c r="J40" s="104"/>
    </row>
    <row r="41" spans="1:43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</row>
    <row r="42" spans="1:43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</row>
    <row r="50" spans="1:34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/>
    </row>
    <row r="51" spans="1:34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COUNTIF(D38:AG38,"AB")</f>
        <v>0</v>
      </c>
      <c r="AH51"/>
    </row>
    <row r="52" spans="1:34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30</v>
      </c>
      <c r="AH52"/>
    </row>
    <row r="53" spans="1:34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34:C34"/>
    <mergeCell ref="A37:C37"/>
    <mergeCell ref="A41:AG41"/>
    <mergeCell ref="A30:C30"/>
    <mergeCell ref="A31:C31"/>
    <mergeCell ref="A32:C32"/>
    <mergeCell ref="A33:C33"/>
    <mergeCell ref="A35:C35"/>
    <mergeCell ref="A36:C3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D36:F36 W30:W35 AC22:AC26 AD30:AE32 AD34:AE35 AD6:AE8 AD18:AE27 K36:N36 V27:W27 Q36:AG36 AE9:AE14 AF22:AG24">
    <cfRule type="cellIs" dxfId="1062" priority="323" stopIfTrue="1" operator="equal">
      <formula>"B"</formula>
    </cfRule>
    <cfRule type="cellIs" dxfId="1061" priority="324" stopIfTrue="1" operator="equal">
      <formula>"M"</formula>
    </cfRule>
    <cfRule type="cellIs" dxfId="1060" priority="325" stopIfTrue="1" operator="between">
      <formula>"NB"</formula>
      <formula>"NB^"</formula>
    </cfRule>
  </conditionalFormatting>
  <conditionalFormatting sqref="AD28:AE28 U28:W29 AE29">
    <cfRule type="cellIs" dxfId="1059" priority="326" stopIfTrue="1" operator="equal">
      <formula>0</formula>
    </cfRule>
  </conditionalFormatting>
  <conditionalFormatting sqref="AD15:AE17">
    <cfRule type="cellIs" dxfId="1058" priority="307" stopIfTrue="1" operator="equal">
      <formula>"B"</formula>
    </cfRule>
    <cfRule type="cellIs" dxfId="1057" priority="308" stopIfTrue="1" operator="equal">
      <formula>"M"</formula>
    </cfRule>
    <cfRule type="cellIs" dxfId="1056" priority="309" stopIfTrue="1" operator="between">
      <formula>"NB"</formula>
      <formula>"NB^"</formula>
    </cfRule>
  </conditionalFormatting>
  <conditionalFormatting sqref="G36:J36">
    <cfRule type="cellIs" dxfId="1055" priority="264" stopIfTrue="1" operator="equal">
      <formula>"B"</formula>
    </cfRule>
    <cfRule type="cellIs" dxfId="1054" priority="265" stopIfTrue="1" operator="equal">
      <formula>"M"</formula>
    </cfRule>
    <cfRule type="cellIs" dxfId="1053" priority="266" stopIfTrue="1" operator="between">
      <formula>"NB"</formula>
      <formula>"NB^"</formula>
    </cfRule>
  </conditionalFormatting>
  <conditionalFormatting sqref="AC30:AC32 AC34:AC35 AC27">
    <cfRule type="cellIs" dxfId="1052" priority="257" stopIfTrue="1" operator="equal">
      <formula>"B"</formula>
    </cfRule>
    <cfRule type="cellIs" dxfId="1051" priority="258" stopIfTrue="1" operator="equal">
      <formula>"M"</formula>
    </cfRule>
    <cfRule type="cellIs" dxfId="1050" priority="259" stopIfTrue="1" operator="between">
      <formula>"NB"</formula>
      <formula>"NB^"</formula>
    </cfRule>
  </conditionalFormatting>
  <conditionalFormatting sqref="AC28 AC29:AD29">
    <cfRule type="cellIs" dxfId="1049" priority="260" stopIfTrue="1" operator="equal">
      <formula>0</formula>
    </cfRule>
  </conditionalFormatting>
  <conditionalFormatting sqref="O36:P36">
    <cfRule type="cellIs" dxfId="1048" priority="218" stopIfTrue="1" operator="equal">
      <formula>"B"</formula>
    </cfRule>
    <cfRule type="cellIs" dxfId="1047" priority="219" stopIfTrue="1" operator="equal">
      <formula>"M"</formula>
    </cfRule>
    <cfRule type="cellIs" dxfId="1046" priority="220" stopIfTrue="1" operator="between">
      <formula>"NB"</formula>
      <formula>"NB^"</formula>
    </cfRule>
  </conditionalFormatting>
  <conditionalFormatting sqref="AC6:AC8 AC18:AC21 AC33:AE33">
    <cfRule type="cellIs" dxfId="1045" priority="207" stopIfTrue="1" operator="equal">
      <formula>"B"</formula>
    </cfRule>
    <cfRule type="cellIs" dxfId="1044" priority="208" stopIfTrue="1" operator="equal">
      <formula>"M"</formula>
    </cfRule>
    <cfRule type="cellIs" dxfId="1043" priority="209" stopIfTrue="1" operator="between">
      <formula>"NB"</formula>
      <formula>"NB^"</formula>
    </cfRule>
  </conditionalFormatting>
  <conditionalFormatting sqref="AC15:AC17">
    <cfRule type="cellIs" dxfId="1042" priority="204" stopIfTrue="1" operator="equal">
      <formula>"B"</formula>
    </cfRule>
    <cfRule type="cellIs" dxfId="1041" priority="205" stopIfTrue="1" operator="equal">
      <formula>"M"</formula>
    </cfRule>
    <cfRule type="cellIs" dxfId="1040" priority="206" stopIfTrue="1" operator="between">
      <formula>"NB"</formula>
      <formula>"NB^"</formula>
    </cfRule>
  </conditionalFormatting>
  <conditionalFormatting sqref="I6:I8 I27 I30:I35 I18:I22">
    <cfRule type="cellIs" dxfId="1039" priority="165" stopIfTrue="1" operator="equal">
      <formula>"B"</formula>
    </cfRule>
    <cfRule type="cellIs" dxfId="1038" priority="166" stopIfTrue="1" operator="equal">
      <formula>"M"</formula>
    </cfRule>
    <cfRule type="cellIs" dxfId="1037" priority="167" stopIfTrue="1" operator="between">
      <formula>"NB"</formula>
      <formula>"NB^"</formula>
    </cfRule>
  </conditionalFormatting>
  <conditionalFormatting sqref="I28:I29">
    <cfRule type="cellIs" dxfId="1036" priority="168" stopIfTrue="1" operator="equal">
      <formula>0</formula>
    </cfRule>
  </conditionalFormatting>
  <conditionalFormatting sqref="I15:I17">
    <cfRule type="cellIs" priority="161" stopIfTrue="1" operator="equal">
      <formula>"B"</formula>
    </cfRule>
    <cfRule type="cellIs" dxfId="1035" priority="162" stopIfTrue="1" operator="equal">
      <formula>"M"</formula>
    </cfRule>
    <cfRule type="cellIs" dxfId="1034" priority="163" stopIfTrue="1" operator="equal">
      <formula>"NB"</formula>
    </cfRule>
    <cfRule type="cellIs" dxfId="1033" priority="164" stopIfTrue="1" operator="equal">
      <formula>0</formula>
    </cfRule>
  </conditionalFormatting>
  <conditionalFormatting sqref="Q23:Q24">
    <cfRule type="cellIs" dxfId="1032" priority="157" stopIfTrue="1" operator="equal">
      <formula>"B"</formula>
    </cfRule>
    <cfRule type="cellIs" dxfId="1031" priority="158" stopIfTrue="1" operator="equal">
      <formula>"M"</formula>
    </cfRule>
    <cfRule type="cellIs" dxfId="1030" priority="159" stopIfTrue="1" operator="between">
      <formula>"NB"</formula>
      <formula>"NB^"</formula>
    </cfRule>
  </conditionalFormatting>
  <conditionalFormatting sqref="O22:Q22 P6:Q8 P30:Q35 P27:Q27 Q25:Q26">
    <cfRule type="cellIs" dxfId="1029" priority="146" stopIfTrue="1" operator="equal">
      <formula>"B"</formula>
    </cfRule>
    <cfRule type="cellIs" dxfId="1028" priority="147" stopIfTrue="1" operator="equal">
      <formula>"M"</formula>
    </cfRule>
    <cfRule type="cellIs" dxfId="1027" priority="148" stopIfTrue="1" operator="between">
      <formula>"NB"</formula>
      <formula>"NB^"</formula>
    </cfRule>
  </conditionalFormatting>
  <conditionalFormatting sqref="P28:Q29">
    <cfRule type="cellIs" dxfId="1026" priority="149" stopIfTrue="1" operator="equal">
      <formula>0</formula>
    </cfRule>
  </conditionalFormatting>
  <conditionalFormatting sqref="Q9:Q14 P18:Q21">
    <cfRule type="cellIs" dxfId="1025" priority="143" stopIfTrue="1" operator="equal">
      <formula>"B"</formula>
    </cfRule>
    <cfRule type="cellIs" dxfId="1024" priority="144" stopIfTrue="1" operator="equal">
      <formula>"M"</formula>
    </cfRule>
    <cfRule type="cellIs" dxfId="1023" priority="145" stopIfTrue="1" operator="between">
      <formula>"NB"</formula>
      <formula>"NB^"</formula>
    </cfRule>
  </conditionalFormatting>
  <conditionalFormatting sqref="P15:Q17">
    <cfRule type="cellIs" priority="139" stopIfTrue="1" operator="equal">
      <formula>"B"</formula>
    </cfRule>
    <cfRule type="cellIs" dxfId="1022" priority="140" stopIfTrue="1" operator="equal">
      <formula>"M"</formula>
    </cfRule>
    <cfRule type="cellIs" dxfId="1021" priority="141" stopIfTrue="1" operator="equal">
      <formula>"NB"</formula>
    </cfRule>
    <cfRule type="cellIs" dxfId="1020" priority="142" stopIfTrue="1" operator="equal">
      <formula>0</formula>
    </cfRule>
  </conditionalFormatting>
  <conditionalFormatting sqref="D25:D26">
    <cfRule type="cellIs" dxfId="1019" priority="136" stopIfTrue="1" operator="equal">
      <formula>"B"</formula>
    </cfRule>
    <cfRule type="cellIs" dxfId="1018" priority="137" stopIfTrue="1" operator="equal">
      <formula>"M"</formula>
    </cfRule>
    <cfRule type="cellIs" dxfId="1017" priority="138" stopIfTrue="1" operator="between">
      <formula>"NB"</formula>
      <formula>"NB^"</formula>
    </cfRule>
  </conditionalFormatting>
  <conditionalFormatting sqref="D18:D22 D30:D35 D27 D6:D14">
    <cfRule type="cellIs" dxfId="1016" priority="132" stopIfTrue="1" operator="equal">
      <formula>"B"</formula>
    </cfRule>
    <cfRule type="cellIs" dxfId="1015" priority="133" stopIfTrue="1" operator="equal">
      <formula>"M"</formula>
    </cfRule>
    <cfRule type="cellIs" dxfId="1014" priority="134" stopIfTrue="1" operator="between">
      <formula>"NB"</formula>
      <formula>"NB^"</formula>
    </cfRule>
  </conditionalFormatting>
  <conditionalFormatting sqref="D28:D29">
    <cfRule type="cellIs" dxfId="1013" priority="135" stopIfTrue="1" operator="equal">
      <formula>0</formula>
    </cfRule>
  </conditionalFormatting>
  <conditionalFormatting sqref="D15:D17">
    <cfRule type="cellIs" priority="128" stopIfTrue="1" operator="equal">
      <formula>"B"</formula>
    </cfRule>
    <cfRule type="cellIs" dxfId="1012" priority="129" stopIfTrue="1" operator="equal">
      <formula>"M"</formula>
    </cfRule>
    <cfRule type="cellIs" dxfId="1011" priority="130" stopIfTrue="1" operator="equal">
      <formula>"NB"</formula>
    </cfRule>
    <cfRule type="cellIs" dxfId="1010" priority="131" stopIfTrue="1" operator="equal">
      <formula>0</formula>
    </cfRule>
  </conditionalFormatting>
  <conditionalFormatting sqref="D23:D24">
    <cfRule type="cellIs" priority="124" stopIfTrue="1" operator="equal">
      <formula>"B"</formula>
    </cfRule>
    <cfRule type="cellIs" dxfId="1009" priority="125" stopIfTrue="1" operator="equal">
      <formula>"M"</formula>
    </cfRule>
    <cfRule type="cellIs" dxfId="1008" priority="126" stopIfTrue="1" operator="equal">
      <formula>"NB"</formula>
    </cfRule>
    <cfRule type="cellIs" dxfId="1007" priority="127" stopIfTrue="1" operator="equal">
      <formula>0</formula>
    </cfRule>
  </conditionalFormatting>
  <conditionalFormatting sqref="E25:I26">
    <cfRule type="cellIs" dxfId="1006" priority="121" stopIfTrue="1" operator="equal">
      <formula>"B"</formula>
    </cfRule>
    <cfRule type="cellIs" dxfId="1005" priority="122" stopIfTrue="1" operator="equal">
      <formula>"M"</formula>
    </cfRule>
    <cfRule type="cellIs" dxfId="1004" priority="123" stopIfTrue="1" operator="between">
      <formula>"NB"</formula>
      <formula>"NB^"</formula>
    </cfRule>
  </conditionalFormatting>
  <conditionalFormatting sqref="I9:I14 E18:H22 E30:H35 E27:H27 E6:H14">
    <cfRule type="cellIs" dxfId="1003" priority="117" stopIfTrue="1" operator="equal">
      <formula>"B"</formula>
    </cfRule>
    <cfRule type="cellIs" dxfId="1002" priority="118" stopIfTrue="1" operator="equal">
      <formula>"M"</formula>
    </cfRule>
    <cfRule type="cellIs" dxfId="1001" priority="119" stopIfTrue="1" operator="between">
      <formula>"NB"</formula>
      <formula>"NB^"</formula>
    </cfRule>
  </conditionalFormatting>
  <conditionalFormatting sqref="E28:H29">
    <cfRule type="cellIs" dxfId="1000" priority="120" stopIfTrue="1" operator="equal">
      <formula>0</formula>
    </cfRule>
  </conditionalFormatting>
  <conditionalFormatting sqref="E15:H17">
    <cfRule type="cellIs" priority="113" stopIfTrue="1" operator="equal">
      <formula>"B"</formula>
    </cfRule>
    <cfRule type="cellIs" dxfId="999" priority="114" stopIfTrue="1" operator="equal">
      <formula>"M"</formula>
    </cfRule>
    <cfRule type="cellIs" dxfId="998" priority="115" stopIfTrue="1" operator="equal">
      <formula>"NB"</formula>
    </cfRule>
    <cfRule type="cellIs" dxfId="997" priority="116" stopIfTrue="1" operator="equal">
      <formula>0</formula>
    </cfRule>
  </conditionalFormatting>
  <conditionalFormatting sqref="E23:I24">
    <cfRule type="cellIs" priority="109" stopIfTrue="1" operator="equal">
      <formula>"B"</formula>
    </cfRule>
    <cfRule type="cellIs" dxfId="996" priority="110" stopIfTrue="1" operator="equal">
      <formula>"M"</formula>
    </cfRule>
    <cfRule type="cellIs" dxfId="995" priority="111" stopIfTrue="1" operator="equal">
      <formula>"NB"</formula>
    </cfRule>
    <cfRule type="cellIs" dxfId="994" priority="112" stopIfTrue="1" operator="equal">
      <formula>0</formula>
    </cfRule>
  </conditionalFormatting>
  <conditionalFormatting sqref="J6:J8 J27 J30:J35 J18:J22">
    <cfRule type="cellIs" dxfId="993" priority="105" stopIfTrue="1" operator="equal">
      <formula>"B"</formula>
    </cfRule>
    <cfRule type="cellIs" dxfId="992" priority="106" stopIfTrue="1" operator="equal">
      <formula>"M"</formula>
    </cfRule>
    <cfRule type="cellIs" dxfId="991" priority="107" stopIfTrue="1" operator="between">
      <formula>"NB"</formula>
      <formula>"NB^"</formula>
    </cfRule>
  </conditionalFormatting>
  <conditionalFormatting sqref="J28:J29">
    <cfRule type="cellIs" dxfId="990" priority="108" stopIfTrue="1" operator="equal">
      <formula>0</formula>
    </cfRule>
  </conditionalFormatting>
  <conditionalFormatting sqref="J15:J17">
    <cfRule type="cellIs" priority="101" stopIfTrue="1" operator="equal">
      <formula>"B"</formula>
    </cfRule>
    <cfRule type="cellIs" dxfId="989" priority="102" stopIfTrue="1" operator="equal">
      <formula>"M"</formula>
    </cfRule>
    <cfRule type="cellIs" dxfId="988" priority="103" stopIfTrue="1" operator="equal">
      <formula>"NB"</formula>
    </cfRule>
    <cfRule type="cellIs" dxfId="987" priority="104" stopIfTrue="1" operator="equal">
      <formula>0</formula>
    </cfRule>
  </conditionalFormatting>
  <conditionalFormatting sqref="J25:J26">
    <cfRule type="cellIs" dxfId="986" priority="98" stopIfTrue="1" operator="equal">
      <formula>"B"</formula>
    </cfRule>
    <cfRule type="cellIs" dxfId="985" priority="99" stopIfTrue="1" operator="equal">
      <formula>"M"</formula>
    </cfRule>
    <cfRule type="cellIs" dxfId="984" priority="100" stopIfTrue="1" operator="between">
      <formula>"NB"</formula>
      <formula>"NB^"</formula>
    </cfRule>
  </conditionalFormatting>
  <conditionalFormatting sqref="J9:J14">
    <cfRule type="cellIs" dxfId="983" priority="95" stopIfTrue="1" operator="equal">
      <formula>"B"</formula>
    </cfRule>
    <cfRule type="cellIs" dxfId="982" priority="96" stopIfTrue="1" operator="equal">
      <formula>"M"</formula>
    </cfRule>
    <cfRule type="cellIs" dxfId="981" priority="97" stopIfTrue="1" operator="between">
      <formula>"NB"</formula>
      <formula>"NB^"</formula>
    </cfRule>
  </conditionalFormatting>
  <conditionalFormatting sqref="J23:J24">
    <cfRule type="cellIs" priority="91" stopIfTrue="1" operator="equal">
      <formula>"B"</formula>
    </cfRule>
    <cfRule type="cellIs" dxfId="980" priority="92" stopIfTrue="1" operator="equal">
      <formula>"M"</formula>
    </cfRule>
    <cfRule type="cellIs" dxfId="979" priority="93" stopIfTrue="1" operator="equal">
      <formula>"NB"</formula>
    </cfRule>
    <cfRule type="cellIs" dxfId="978" priority="94" stopIfTrue="1" operator="equal">
      <formula>0</formula>
    </cfRule>
  </conditionalFormatting>
  <conditionalFormatting sqref="K18:N22 K6:O8 O18:O21 K27:O27 K30:O35">
    <cfRule type="cellIs" dxfId="977" priority="87" stopIfTrue="1" operator="equal">
      <formula>"B"</formula>
    </cfRule>
    <cfRule type="cellIs" dxfId="976" priority="88" stopIfTrue="1" operator="equal">
      <formula>"M"</formula>
    </cfRule>
    <cfRule type="cellIs" dxfId="975" priority="89" stopIfTrue="1" operator="between">
      <formula>"NB"</formula>
      <formula>"NB^"</formula>
    </cfRule>
  </conditionalFormatting>
  <conditionalFormatting sqref="K28:O29">
    <cfRule type="cellIs" dxfId="974" priority="90" stopIfTrue="1" operator="equal">
      <formula>0</formula>
    </cfRule>
  </conditionalFormatting>
  <conditionalFormatting sqref="K15:O17">
    <cfRule type="cellIs" priority="83" stopIfTrue="1" operator="equal">
      <formula>"B"</formula>
    </cfRule>
    <cfRule type="cellIs" dxfId="973" priority="84" stopIfTrue="1" operator="equal">
      <formula>"M"</formula>
    </cfRule>
    <cfRule type="cellIs" dxfId="972" priority="85" stopIfTrue="1" operator="equal">
      <formula>"NB"</formula>
    </cfRule>
    <cfRule type="cellIs" dxfId="971" priority="86" stopIfTrue="1" operator="equal">
      <formula>0</formula>
    </cfRule>
  </conditionalFormatting>
  <conditionalFormatting sqref="K25:P26">
    <cfRule type="cellIs" dxfId="970" priority="80" stopIfTrue="1" operator="equal">
      <formula>"B"</formula>
    </cfRule>
    <cfRule type="cellIs" dxfId="969" priority="81" stopIfTrue="1" operator="equal">
      <formula>"M"</formula>
    </cfRule>
    <cfRule type="cellIs" dxfId="968" priority="82" stopIfTrue="1" operator="between">
      <formula>"NB"</formula>
      <formula>"NB^"</formula>
    </cfRule>
  </conditionalFormatting>
  <conditionalFormatting sqref="K9:P14">
    <cfRule type="cellIs" dxfId="967" priority="77" stopIfTrue="1" operator="equal">
      <formula>"B"</formula>
    </cfRule>
    <cfRule type="cellIs" dxfId="966" priority="78" stopIfTrue="1" operator="equal">
      <formula>"M"</formula>
    </cfRule>
    <cfRule type="cellIs" dxfId="965" priority="79" stopIfTrue="1" operator="between">
      <formula>"NB"</formula>
      <formula>"NB^"</formula>
    </cfRule>
  </conditionalFormatting>
  <conditionalFormatting sqref="K23:P24">
    <cfRule type="cellIs" priority="73" stopIfTrue="1" operator="equal">
      <formula>"B"</formula>
    </cfRule>
    <cfRule type="cellIs" dxfId="964" priority="74" stopIfTrue="1" operator="equal">
      <formula>"M"</formula>
    </cfRule>
    <cfRule type="cellIs" dxfId="963" priority="75" stopIfTrue="1" operator="equal">
      <formula>"NB"</formula>
    </cfRule>
    <cfRule type="cellIs" dxfId="962" priority="76" stopIfTrue="1" operator="equal">
      <formula>0</formula>
    </cfRule>
  </conditionalFormatting>
  <conditionalFormatting sqref="R23:W24">
    <cfRule type="cellIs" dxfId="961" priority="70" stopIfTrue="1" operator="equal">
      <formula>"B"</formula>
    </cfRule>
    <cfRule type="cellIs" dxfId="960" priority="71" stopIfTrue="1" operator="equal">
      <formula>"M"</formula>
    </cfRule>
    <cfRule type="cellIs" dxfId="959" priority="72" stopIfTrue="1" operator="between">
      <formula>"NB"</formula>
      <formula>"NB^"</formula>
    </cfRule>
  </conditionalFormatting>
  <conditionalFormatting sqref="R25:U27 V25:W26 R22:V22 R6:V8 R30:V35">
    <cfRule type="cellIs" dxfId="958" priority="66" stopIfTrue="1" operator="equal">
      <formula>"B"</formula>
    </cfRule>
    <cfRule type="cellIs" dxfId="957" priority="67" stopIfTrue="1" operator="equal">
      <formula>"M"</formula>
    </cfRule>
    <cfRule type="cellIs" dxfId="956" priority="68" stopIfTrue="1" operator="between">
      <formula>"NB"</formula>
      <formula>"NB^"</formula>
    </cfRule>
  </conditionalFormatting>
  <conditionalFormatting sqref="R28:T29">
    <cfRule type="cellIs" dxfId="955" priority="69" stopIfTrue="1" operator="equal">
      <formula>0</formula>
    </cfRule>
  </conditionalFormatting>
  <conditionalFormatting sqref="R18:V21 R9:V14">
    <cfRule type="cellIs" dxfId="954" priority="63" stopIfTrue="1" operator="equal">
      <formula>"B"</formula>
    </cfRule>
    <cfRule type="cellIs" dxfId="953" priority="64" stopIfTrue="1" operator="equal">
      <formula>"M"</formula>
    </cfRule>
    <cfRule type="cellIs" dxfId="952" priority="65" stopIfTrue="1" operator="between">
      <formula>"NB"</formula>
      <formula>"NB^"</formula>
    </cfRule>
  </conditionalFormatting>
  <conditionalFormatting sqref="R15:V17">
    <cfRule type="cellIs" priority="59" stopIfTrue="1" operator="equal">
      <formula>"B"</formula>
    </cfRule>
    <cfRule type="cellIs" dxfId="951" priority="60" stopIfTrue="1" operator="equal">
      <formula>"M"</formula>
    </cfRule>
    <cfRule type="cellIs" dxfId="950" priority="61" stopIfTrue="1" operator="equal">
      <formula>"NB"</formula>
    </cfRule>
    <cfRule type="cellIs" dxfId="949" priority="62" stopIfTrue="1" operator="equal">
      <formula>0</formula>
    </cfRule>
  </conditionalFormatting>
  <conditionalFormatting sqref="W22 W6:W8">
    <cfRule type="cellIs" dxfId="948" priority="56" stopIfTrue="1" operator="equal">
      <formula>"B"</formula>
    </cfRule>
    <cfRule type="cellIs" dxfId="947" priority="57" stopIfTrue="1" operator="equal">
      <formula>"M"</formula>
    </cfRule>
    <cfRule type="cellIs" dxfId="946" priority="58" stopIfTrue="1" operator="between">
      <formula>"NB"</formula>
      <formula>"NB^"</formula>
    </cfRule>
  </conditionalFormatting>
  <conditionalFormatting sqref="W18:W21 W9:W14">
    <cfRule type="cellIs" dxfId="945" priority="53" stopIfTrue="1" operator="equal">
      <formula>"B"</formula>
    </cfRule>
    <cfRule type="cellIs" dxfId="944" priority="54" stopIfTrue="1" operator="equal">
      <formula>"M"</formula>
    </cfRule>
    <cfRule type="cellIs" dxfId="943" priority="55" stopIfTrue="1" operator="between">
      <formula>"NB"</formula>
      <formula>"NB^"</formula>
    </cfRule>
  </conditionalFormatting>
  <conditionalFormatting sqref="W15:W17">
    <cfRule type="cellIs" priority="49" stopIfTrue="1" operator="equal">
      <formula>"B"</formula>
    </cfRule>
    <cfRule type="cellIs" dxfId="942" priority="50" stopIfTrue="1" operator="equal">
      <formula>"M"</formula>
    </cfRule>
    <cfRule type="cellIs" dxfId="941" priority="51" stopIfTrue="1" operator="equal">
      <formula>"NB"</formula>
    </cfRule>
    <cfRule type="cellIs" dxfId="940" priority="52" stopIfTrue="1" operator="equal">
      <formula>0</formula>
    </cfRule>
  </conditionalFormatting>
  <conditionalFormatting sqref="X30:X35 X27">
    <cfRule type="cellIs" dxfId="939" priority="45" stopIfTrue="1" operator="equal">
      <formula>"B"</formula>
    </cfRule>
    <cfRule type="cellIs" dxfId="938" priority="46" stopIfTrue="1" operator="equal">
      <formula>"M"</formula>
    </cfRule>
    <cfRule type="cellIs" dxfId="937" priority="47" stopIfTrue="1" operator="between">
      <formula>"NB"</formula>
      <formula>"NB^"</formula>
    </cfRule>
  </conditionalFormatting>
  <conditionalFormatting sqref="X28:X29">
    <cfRule type="cellIs" dxfId="936" priority="48" stopIfTrue="1" operator="equal">
      <formula>0</formula>
    </cfRule>
  </conditionalFormatting>
  <conditionalFormatting sqref="X23:X24">
    <cfRule type="cellIs" dxfId="935" priority="42" stopIfTrue="1" operator="equal">
      <formula>"B"</formula>
    </cfRule>
    <cfRule type="cellIs" dxfId="934" priority="43" stopIfTrue="1" operator="equal">
      <formula>"M"</formula>
    </cfRule>
    <cfRule type="cellIs" dxfId="933" priority="44" stopIfTrue="1" operator="between">
      <formula>"NB"</formula>
      <formula>"NB^"</formula>
    </cfRule>
  </conditionalFormatting>
  <conditionalFormatting sqref="X25:X26">
    <cfRule type="cellIs" dxfId="932" priority="39" stopIfTrue="1" operator="equal">
      <formula>"B"</formula>
    </cfRule>
    <cfRule type="cellIs" dxfId="931" priority="40" stopIfTrue="1" operator="equal">
      <formula>"M"</formula>
    </cfRule>
    <cfRule type="cellIs" dxfId="930" priority="41" stopIfTrue="1" operator="between">
      <formula>"NB"</formula>
      <formula>"NB^"</formula>
    </cfRule>
  </conditionalFormatting>
  <conditionalFormatting sqref="X22 X6:X8">
    <cfRule type="cellIs" dxfId="929" priority="36" stopIfTrue="1" operator="equal">
      <formula>"B"</formula>
    </cfRule>
    <cfRule type="cellIs" dxfId="928" priority="37" stopIfTrue="1" operator="equal">
      <formula>"M"</formula>
    </cfRule>
    <cfRule type="cellIs" dxfId="927" priority="38" stopIfTrue="1" operator="between">
      <formula>"NB"</formula>
      <formula>"NB^"</formula>
    </cfRule>
  </conditionalFormatting>
  <conditionalFormatting sqref="X18:X21 X9:X14">
    <cfRule type="cellIs" dxfId="926" priority="33" stopIfTrue="1" operator="equal">
      <formula>"B"</formula>
    </cfRule>
    <cfRule type="cellIs" dxfId="925" priority="34" stopIfTrue="1" operator="equal">
      <formula>"M"</formula>
    </cfRule>
    <cfRule type="cellIs" dxfId="924" priority="35" stopIfTrue="1" operator="between">
      <formula>"NB"</formula>
      <formula>"NB^"</formula>
    </cfRule>
  </conditionalFormatting>
  <conditionalFormatting sqref="X15:X17">
    <cfRule type="cellIs" priority="29" stopIfTrue="1" operator="equal">
      <formula>"B"</formula>
    </cfRule>
    <cfRule type="cellIs" dxfId="923" priority="30" stopIfTrue="1" operator="equal">
      <formula>"M"</formula>
    </cfRule>
    <cfRule type="cellIs" dxfId="922" priority="31" stopIfTrue="1" operator="equal">
      <formula>"NB"</formula>
    </cfRule>
    <cfRule type="cellIs" dxfId="921" priority="32" stopIfTrue="1" operator="equal">
      <formula>0</formula>
    </cfRule>
  </conditionalFormatting>
  <conditionalFormatting sqref="Y23:AB24">
    <cfRule type="cellIs" dxfId="920" priority="26" stopIfTrue="1" operator="equal">
      <formula>"B"</formula>
    </cfRule>
    <cfRule type="cellIs" dxfId="919" priority="27" stopIfTrue="1" operator="equal">
      <formula>"M"</formula>
    </cfRule>
    <cfRule type="cellIs" dxfId="918" priority="28" stopIfTrue="1" operator="between">
      <formula>"NB"</formula>
      <formula>"NB^"</formula>
    </cfRule>
  </conditionalFormatting>
  <conditionalFormatting sqref="Y25:AB27 Y22:AB22 Y6:AB8 Y30:AB35">
    <cfRule type="cellIs" dxfId="917" priority="22" stopIfTrue="1" operator="equal">
      <formula>"B"</formula>
    </cfRule>
    <cfRule type="cellIs" dxfId="916" priority="23" stopIfTrue="1" operator="equal">
      <formula>"M"</formula>
    </cfRule>
    <cfRule type="cellIs" dxfId="915" priority="24" stopIfTrue="1" operator="between">
      <formula>"NB"</formula>
      <formula>"NB^"</formula>
    </cfRule>
  </conditionalFormatting>
  <conditionalFormatting sqref="Y28:AB29">
    <cfRule type="cellIs" dxfId="914" priority="25" stopIfTrue="1" operator="equal">
      <formula>0</formula>
    </cfRule>
  </conditionalFormatting>
  <conditionalFormatting sqref="Y18:AB21 Y9:AD14">
    <cfRule type="cellIs" dxfId="913" priority="19" stopIfTrue="1" operator="equal">
      <formula>"B"</formula>
    </cfRule>
    <cfRule type="cellIs" dxfId="912" priority="20" stopIfTrue="1" operator="equal">
      <formula>"M"</formula>
    </cfRule>
    <cfRule type="cellIs" dxfId="911" priority="21" stopIfTrue="1" operator="between">
      <formula>"NB"</formula>
      <formula>"NB^"</formula>
    </cfRule>
  </conditionalFormatting>
  <conditionalFormatting sqref="Y15:AB17">
    <cfRule type="cellIs" priority="15" stopIfTrue="1" operator="equal">
      <formula>"B"</formula>
    </cfRule>
    <cfRule type="cellIs" dxfId="910" priority="16" stopIfTrue="1" operator="equal">
      <formula>"M"</formula>
    </cfRule>
    <cfRule type="cellIs" dxfId="909" priority="17" stopIfTrue="1" operator="equal">
      <formula>"NB"</formula>
    </cfRule>
    <cfRule type="cellIs" dxfId="908" priority="18" stopIfTrue="1" operator="equal">
      <formula>0</formula>
    </cfRule>
  </conditionalFormatting>
  <conditionalFormatting sqref="AF30:AG32 AF34:AG35 AF6:AG8 AF18:AG21 AF25:AG27">
    <cfRule type="cellIs" dxfId="907" priority="11" stopIfTrue="1" operator="equal">
      <formula>"B"</formula>
    </cfRule>
    <cfRule type="cellIs" dxfId="906" priority="12" stopIfTrue="1" operator="equal">
      <formula>"M"</formula>
    </cfRule>
    <cfRule type="cellIs" dxfId="905" priority="13" stopIfTrue="1" operator="between">
      <formula>"NB"</formula>
      <formula>"NB^"</formula>
    </cfRule>
  </conditionalFormatting>
  <conditionalFormatting sqref="AF28:AG28">
    <cfRule type="cellIs" dxfId="904" priority="14" stopIfTrue="1" operator="equal">
      <formula>0</formula>
    </cfRule>
  </conditionalFormatting>
  <conditionalFormatting sqref="AF15:AG17">
    <cfRule type="cellIs" dxfId="903" priority="8" stopIfTrue="1" operator="equal">
      <formula>"B"</formula>
    </cfRule>
    <cfRule type="cellIs" dxfId="902" priority="9" stopIfTrue="1" operator="equal">
      <formula>"M"</formula>
    </cfRule>
    <cfRule type="cellIs" dxfId="901" priority="10" stopIfTrue="1" operator="between">
      <formula>"NB"</formula>
      <formula>"NB^"</formula>
    </cfRule>
  </conditionalFormatting>
  <conditionalFormatting sqref="AF29:AG29">
    <cfRule type="cellIs" dxfId="900" priority="7" stopIfTrue="1" operator="equal">
      <formula>0</formula>
    </cfRule>
  </conditionalFormatting>
  <conditionalFormatting sqref="AF33:AG33">
    <cfRule type="cellIs" dxfId="899" priority="4" stopIfTrue="1" operator="equal">
      <formula>"B"</formula>
    </cfRule>
    <cfRule type="cellIs" dxfId="898" priority="5" stopIfTrue="1" operator="equal">
      <formula>"M"</formula>
    </cfRule>
    <cfRule type="cellIs" dxfId="897" priority="6" stopIfTrue="1" operator="between">
      <formula>"NB"</formula>
      <formula>"NB^"</formula>
    </cfRule>
  </conditionalFormatting>
  <conditionalFormatting sqref="AF9:AG14">
    <cfRule type="cellIs" dxfId="896" priority="1" stopIfTrue="1" operator="equal">
      <formula>"B"</formula>
    </cfRule>
    <cfRule type="cellIs" dxfId="895" priority="2" stopIfTrue="1" operator="equal">
      <formula>"M"</formula>
    </cfRule>
    <cfRule type="cellIs" dxfId="894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105</v>
      </c>
    </row>
    <row r="4" spans="1:44" s="5" customFormat="1" ht="15.75" customHeight="1" thickBot="1" x14ac:dyDescent="0.3">
      <c r="C4" s="6"/>
      <c r="E4" s="5" t="s">
        <v>3</v>
      </c>
      <c r="F4" s="5" t="s">
        <v>3</v>
      </c>
      <c r="H4" s="6"/>
      <c r="L4" s="5" t="s">
        <v>3</v>
      </c>
      <c r="M4" s="5" t="s">
        <v>3</v>
      </c>
      <c r="O4" s="6"/>
      <c r="S4" s="5" t="s">
        <v>3</v>
      </c>
      <c r="T4" s="5" t="s">
        <v>3</v>
      </c>
      <c r="Z4" s="5" t="s">
        <v>3</v>
      </c>
      <c r="AA4" s="5" t="s">
        <v>3</v>
      </c>
      <c r="AB4" s="5" t="s">
        <v>4</v>
      </c>
      <c r="AG4" s="5" t="s">
        <v>3</v>
      </c>
      <c r="AH4" s="5" t="s">
        <v>3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71">
        <v>27</v>
      </c>
      <c r="AE5" s="71">
        <v>28</v>
      </c>
      <c r="AF5" s="71">
        <v>29</v>
      </c>
      <c r="AG5" s="71">
        <v>30</v>
      </c>
      <c r="AH5" s="13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8</v>
      </c>
      <c r="J6" s="72" t="s">
        <v>9</v>
      </c>
      <c r="K6" s="72" t="s">
        <v>9</v>
      </c>
      <c r="L6" s="72" t="s">
        <v>9</v>
      </c>
      <c r="M6" s="72" t="s">
        <v>8</v>
      </c>
      <c r="N6" s="72" t="s">
        <v>8</v>
      </c>
      <c r="O6" s="72" t="s">
        <v>8</v>
      </c>
      <c r="P6" s="72" t="s">
        <v>8</v>
      </c>
      <c r="Q6" s="72" t="s">
        <v>8</v>
      </c>
      <c r="R6" s="72" t="s">
        <v>8</v>
      </c>
      <c r="S6" s="72" t="s">
        <v>8</v>
      </c>
      <c r="T6" s="72" t="s">
        <v>8</v>
      </c>
      <c r="U6" s="72" t="s">
        <v>8</v>
      </c>
      <c r="V6" s="72" t="s">
        <v>8</v>
      </c>
      <c r="W6" s="72" t="s">
        <v>8</v>
      </c>
      <c r="X6" s="72" t="s">
        <v>8</v>
      </c>
      <c r="Y6" s="72" t="s">
        <v>8</v>
      </c>
      <c r="Z6" s="72" t="s">
        <v>9</v>
      </c>
      <c r="AA6" s="72" t="s">
        <v>9</v>
      </c>
      <c r="AB6" s="74" t="s">
        <v>22</v>
      </c>
      <c r="AC6" s="74" t="s">
        <v>22</v>
      </c>
      <c r="AD6" s="74" t="s">
        <v>22</v>
      </c>
      <c r="AE6" s="74" t="s">
        <v>22</v>
      </c>
      <c r="AF6" s="74" t="s">
        <v>9</v>
      </c>
      <c r="AG6" s="74" t="s">
        <v>8</v>
      </c>
      <c r="AH6" s="74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38" t="s">
        <v>10</v>
      </c>
      <c r="B7" s="139"/>
      <c r="C7" s="140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6" t="s">
        <v>22</v>
      </c>
      <c r="AC7" s="16" t="s">
        <v>22</v>
      </c>
      <c r="AD7" s="16" t="s">
        <v>22</v>
      </c>
      <c r="AE7" s="16" t="s">
        <v>22</v>
      </c>
      <c r="AF7" s="16" t="s">
        <v>11</v>
      </c>
      <c r="AG7" s="16" t="s">
        <v>11</v>
      </c>
      <c r="AH7" s="16" t="s">
        <v>11</v>
      </c>
      <c r="AI7" s="17">
        <f t="shared" ref="AI7:AI34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44" t="s">
        <v>94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 t="shared" si="0"/>
        <v>0</v>
      </c>
    </row>
    <row r="9" spans="1:44" ht="15.75" customHeight="1" x14ac:dyDescent="0.25">
      <c r="A9" s="147" t="s">
        <v>13</v>
      </c>
      <c r="B9" s="148"/>
      <c r="C9" s="149"/>
      <c r="D9" s="20" t="s">
        <v>11</v>
      </c>
      <c r="E9" s="20" t="s">
        <v>11</v>
      </c>
      <c r="F9" s="20" t="s">
        <v>11</v>
      </c>
      <c r="G9" s="20" t="s">
        <v>11</v>
      </c>
      <c r="H9" s="20" t="s">
        <v>11</v>
      </c>
      <c r="I9" s="20" t="s">
        <v>11</v>
      </c>
      <c r="J9" s="20" t="s">
        <v>11</v>
      </c>
      <c r="K9" s="20" t="s">
        <v>12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12</v>
      </c>
      <c r="AB9" s="79" t="s">
        <v>12</v>
      </c>
      <c r="AC9" s="79" t="s">
        <v>12</v>
      </c>
      <c r="AD9" s="79" t="s">
        <v>12</v>
      </c>
      <c r="AE9" s="79" t="s">
        <v>12</v>
      </c>
      <c r="AF9" s="79" t="s">
        <v>11</v>
      </c>
      <c r="AG9" s="79" t="s">
        <v>11</v>
      </c>
      <c r="AH9" s="79" t="s">
        <v>11</v>
      </c>
      <c r="AI9" s="13">
        <f t="shared" si="0"/>
        <v>0.80645161290322576</v>
      </c>
    </row>
    <row r="10" spans="1:44" ht="15.75" customHeight="1" x14ac:dyDescent="0.25">
      <c r="A10" s="150" t="s">
        <v>14</v>
      </c>
      <c r="B10" s="151"/>
      <c r="C10" s="152"/>
      <c r="D10" s="16" t="s">
        <v>11</v>
      </c>
      <c r="E10" s="16" t="s">
        <v>11</v>
      </c>
      <c r="F10" s="16" t="s">
        <v>11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12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12</v>
      </c>
      <c r="AB10" s="80" t="s">
        <v>12</v>
      </c>
      <c r="AC10" s="80" t="s">
        <v>12</v>
      </c>
      <c r="AD10" s="80" t="s">
        <v>12</v>
      </c>
      <c r="AE10" s="80" t="s">
        <v>12</v>
      </c>
      <c r="AF10" s="80" t="s">
        <v>11</v>
      </c>
      <c r="AG10" s="80" t="s">
        <v>11</v>
      </c>
      <c r="AH10" s="80" t="s">
        <v>11</v>
      </c>
      <c r="AI10" s="21">
        <f t="shared" si="0"/>
        <v>0.80645161290322576</v>
      </c>
    </row>
    <row r="11" spans="1:44" ht="15.75" customHeight="1" x14ac:dyDescent="0.25">
      <c r="A11" s="150" t="s">
        <v>15</v>
      </c>
      <c r="B11" s="151"/>
      <c r="C11" s="152"/>
      <c r="D11" s="16" t="s">
        <v>11</v>
      </c>
      <c r="E11" s="16" t="s">
        <v>11</v>
      </c>
      <c r="F11" s="16" t="s">
        <v>11</v>
      </c>
      <c r="G11" s="16" t="s">
        <v>11</v>
      </c>
      <c r="H11" s="16" t="s">
        <v>11</v>
      </c>
      <c r="I11" s="16" t="s">
        <v>11</v>
      </c>
      <c r="J11" s="16" t="s">
        <v>11</v>
      </c>
      <c r="K11" s="16" t="s">
        <v>12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12</v>
      </c>
      <c r="AB11" s="80" t="s">
        <v>12</v>
      </c>
      <c r="AC11" s="80" t="s">
        <v>12</v>
      </c>
      <c r="AD11" s="80" t="s">
        <v>12</v>
      </c>
      <c r="AE11" s="80" t="s">
        <v>12</v>
      </c>
      <c r="AF11" s="80" t="s">
        <v>11</v>
      </c>
      <c r="AG11" s="80" t="s">
        <v>11</v>
      </c>
      <c r="AH11" s="80" t="s">
        <v>11</v>
      </c>
      <c r="AI11" s="21">
        <f t="shared" si="0"/>
        <v>0.80645161290322576</v>
      </c>
    </row>
    <row r="12" spans="1:44" ht="15.75" customHeight="1" x14ac:dyDescent="0.25">
      <c r="A12" s="150" t="s">
        <v>16</v>
      </c>
      <c r="B12" s="151"/>
      <c r="C12" s="152"/>
      <c r="D12" s="16" t="s">
        <v>11</v>
      </c>
      <c r="E12" s="16" t="s">
        <v>11</v>
      </c>
      <c r="F12" s="16" t="s">
        <v>11</v>
      </c>
      <c r="G12" s="16" t="s">
        <v>11</v>
      </c>
      <c r="H12" s="16" t="s">
        <v>11</v>
      </c>
      <c r="I12" s="16" t="s">
        <v>11</v>
      </c>
      <c r="J12" s="16" t="s">
        <v>11</v>
      </c>
      <c r="K12" s="16" t="s">
        <v>12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12</v>
      </c>
      <c r="AB12" s="80" t="s">
        <v>12</v>
      </c>
      <c r="AC12" s="80" t="s">
        <v>12</v>
      </c>
      <c r="AD12" s="80" t="s">
        <v>12</v>
      </c>
      <c r="AE12" s="80" t="s">
        <v>12</v>
      </c>
      <c r="AF12" s="80" t="s">
        <v>11</v>
      </c>
      <c r="AG12" s="80" t="s">
        <v>11</v>
      </c>
      <c r="AH12" s="80" t="s">
        <v>11</v>
      </c>
      <c r="AI12" s="21">
        <f t="shared" si="0"/>
        <v>0.80645161290322576</v>
      </c>
    </row>
    <row r="13" spans="1:44" ht="15.75" customHeight="1" x14ac:dyDescent="0.25">
      <c r="A13" s="150" t="s">
        <v>17</v>
      </c>
      <c r="B13" s="151"/>
      <c r="C13" s="152"/>
      <c r="D13" s="16" t="s">
        <v>11</v>
      </c>
      <c r="E13" s="16" t="s">
        <v>11</v>
      </c>
      <c r="F13" s="16" t="s">
        <v>11</v>
      </c>
      <c r="G13" s="16" t="s">
        <v>11</v>
      </c>
      <c r="H13" s="16" t="s">
        <v>11</v>
      </c>
      <c r="I13" s="16" t="s">
        <v>11</v>
      </c>
      <c r="J13" s="16" t="s">
        <v>11</v>
      </c>
      <c r="K13" s="16" t="s">
        <v>12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12</v>
      </c>
      <c r="AB13" s="80" t="s">
        <v>12</v>
      </c>
      <c r="AC13" s="80" t="s">
        <v>12</v>
      </c>
      <c r="AD13" s="80" t="s">
        <v>12</v>
      </c>
      <c r="AE13" s="80" t="s">
        <v>12</v>
      </c>
      <c r="AF13" s="80" t="s">
        <v>11</v>
      </c>
      <c r="AG13" s="80" t="s">
        <v>11</v>
      </c>
      <c r="AH13" s="80" t="s">
        <v>11</v>
      </c>
      <c r="AI13" s="21">
        <f t="shared" si="0"/>
        <v>0.80645161290322576</v>
      </c>
    </row>
    <row r="14" spans="1:44" ht="15.75" customHeight="1" x14ac:dyDescent="0.25">
      <c r="A14" s="138" t="s">
        <v>18</v>
      </c>
      <c r="B14" s="139"/>
      <c r="C14" s="14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12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12</v>
      </c>
      <c r="AB14" s="73" t="s">
        <v>12</v>
      </c>
      <c r="AC14" s="73" t="s">
        <v>12</v>
      </c>
      <c r="AD14" s="73" t="s">
        <v>12</v>
      </c>
      <c r="AE14" s="73" t="s">
        <v>12</v>
      </c>
      <c r="AF14" s="73" t="s">
        <v>11</v>
      </c>
      <c r="AG14" s="73" t="s">
        <v>11</v>
      </c>
      <c r="AH14" s="73" t="s">
        <v>11</v>
      </c>
      <c r="AI14" s="17">
        <f t="shared" si="0"/>
        <v>0.80645161290322576</v>
      </c>
    </row>
    <row r="15" spans="1:44" ht="15.75" customHeight="1" x14ac:dyDescent="0.25">
      <c r="A15" s="147" t="s">
        <v>19</v>
      </c>
      <c r="B15" s="148"/>
      <c r="C15" s="149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1</v>
      </c>
    </row>
    <row r="16" spans="1:44" ht="15.75" customHeight="1" x14ac:dyDescent="0.25">
      <c r="A16" s="150" t="s">
        <v>20</v>
      </c>
      <c r="B16" s="151"/>
      <c r="C16" s="152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1</v>
      </c>
    </row>
    <row r="17" spans="1:35" ht="15.75" customHeight="1" x14ac:dyDescent="0.25">
      <c r="A17" s="138" t="s">
        <v>92</v>
      </c>
      <c r="B17" s="139"/>
      <c r="C17" s="14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1</v>
      </c>
    </row>
    <row r="18" spans="1:35" ht="15.75" customHeight="1" x14ac:dyDescent="0.25">
      <c r="A18" s="147" t="s">
        <v>21</v>
      </c>
      <c r="B18" s="148"/>
      <c r="C18" s="149"/>
      <c r="D18" s="22" t="s">
        <v>11</v>
      </c>
      <c r="E18" s="22" t="s">
        <v>11</v>
      </c>
      <c r="F18" s="22" t="s">
        <v>11</v>
      </c>
      <c r="G18" s="22" t="s">
        <v>11</v>
      </c>
      <c r="H18" s="22" t="s">
        <v>11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0" t="s">
        <v>22</v>
      </c>
      <c r="AC18" s="20" t="s">
        <v>22</v>
      </c>
      <c r="AD18" s="20" t="s">
        <v>22</v>
      </c>
      <c r="AE18" s="20" t="s">
        <v>22</v>
      </c>
      <c r="AF18" s="20" t="s">
        <v>11</v>
      </c>
      <c r="AG18" s="20" t="s">
        <v>11</v>
      </c>
      <c r="AH18" s="20" t="s">
        <v>11</v>
      </c>
      <c r="AI18" s="13">
        <f t="shared" si="0"/>
        <v>1</v>
      </c>
    </row>
    <row r="19" spans="1:35" ht="15.75" customHeight="1" x14ac:dyDescent="0.25">
      <c r="A19" s="150" t="s">
        <v>23</v>
      </c>
      <c r="B19" s="151"/>
      <c r="C19" s="152"/>
      <c r="D19" s="23" t="s">
        <v>11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16" t="s">
        <v>22</v>
      </c>
      <c r="AC19" s="16" t="s">
        <v>22</v>
      </c>
      <c r="AD19" s="16" t="s">
        <v>22</v>
      </c>
      <c r="AE19" s="16" t="s">
        <v>22</v>
      </c>
      <c r="AF19" s="16" t="s">
        <v>11</v>
      </c>
      <c r="AG19" s="16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50" t="s">
        <v>24</v>
      </c>
      <c r="B20" s="151"/>
      <c r="C20" s="152"/>
      <c r="D20" s="23" t="s">
        <v>11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16" t="s">
        <v>22</v>
      </c>
      <c r="AC20" s="16" t="s">
        <v>22</v>
      </c>
      <c r="AD20" s="16" t="s">
        <v>22</v>
      </c>
      <c r="AE20" s="16" t="s">
        <v>22</v>
      </c>
      <c r="AF20" s="16" t="s">
        <v>11</v>
      </c>
      <c r="AG20" s="16" t="s">
        <v>11</v>
      </c>
      <c r="AH20" s="16" t="s">
        <v>11</v>
      </c>
      <c r="AI20" s="21">
        <f t="shared" si="0"/>
        <v>1</v>
      </c>
    </row>
    <row r="21" spans="1:35" ht="15.75" customHeight="1" x14ac:dyDescent="0.25">
      <c r="A21" s="138" t="s">
        <v>25</v>
      </c>
      <c r="B21" s="139"/>
      <c r="C21" s="140"/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5" t="s">
        <v>22</v>
      </c>
      <c r="AC21" s="15" t="s">
        <v>22</v>
      </c>
      <c r="AD21" s="15" t="s">
        <v>22</v>
      </c>
      <c r="AE21" s="15" t="s">
        <v>22</v>
      </c>
      <c r="AF21" s="15" t="s">
        <v>11</v>
      </c>
      <c r="AG21" s="15" t="s">
        <v>11</v>
      </c>
      <c r="AH21" s="15" t="s">
        <v>11</v>
      </c>
      <c r="AI21" s="17">
        <f t="shared" si="0"/>
        <v>1</v>
      </c>
    </row>
    <row r="22" spans="1:35" ht="15.75" customHeight="1" x14ac:dyDescent="0.25">
      <c r="A22" s="144" t="s">
        <v>26</v>
      </c>
      <c r="B22" s="145"/>
      <c r="C22" s="146"/>
      <c r="D22" s="81" t="s">
        <v>22</v>
      </c>
      <c r="E22" s="81" t="s">
        <v>22</v>
      </c>
      <c r="F22" s="81" t="s">
        <v>22</v>
      </c>
      <c r="G22" s="81" t="s">
        <v>11</v>
      </c>
      <c r="H22" s="81" t="s">
        <v>11</v>
      </c>
      <c r="I22" s="81" t="s">
        <v>11</v>
      </c>
      <c r="J22" s="81" t="s">
        <v>12</v>
      </c>
      <c r="K22" s="81" t="s">
        <v>12</v>
      </c>
      <c r="L22" s="81" t="s">
        <v>12</v>
      </c>
      <c r="M22" s="81" t="s">
        <v>22</v>
      </c>
      <c r="N22" s="81" t="s">
        <v>22</v>
      </c>
      <c r="O22" s="81" t="s">
        <v>11</v>
      </c>
      <c r="P22" s="81" t="s">
        <v>22</v>
      </c>
      <c r="Q22" s="81" t="s">
        <v>11</v>
      </c>
      <c r="R22" s="81" t="s">
        <v>11</v>
      </c>
      <c r="S22" s="81" t="s">
        <v>12</v>
      </c>
      <c r="T22" s="24" t="s">
        <v>22</v>
      </c>
      <c r="U22" s="24" t="s">
        <v>11</v>
      </c>
      <c r="V22" s="24" t="s">
        <v>11</v>
      </c>
      <c r="W22" s="24" t="s">
        <v>11</v>
      </c>
      <c r="X22" s="24" t="s">
        <v>22</v>
      </c>
      <c r="Y22" s="24" t="s">
        <v>11</v>
      </c>
      <c r="Z22" s="24" t="s">
        <v>22</v>
      </c>
      <c r="AA22" s="81" t="s">
        <v>22</v>
      </c>
      <c r="AB22" s="81" t="s">
        <v>22</v>
      </c>
      <c r="AC22" s="81" t="s">
        <v>22</v>
      </c>
      <c r="AD22" s="81" t="s">
        <v>12</v>
      </c>
      <c r="AE22" s="81" t="s">
        <v>12</v>
      </c>
      <c r="AF22" s="81" t="s">
        <v>12</v>
      </c>
      <c r="AG22" s="81" t="s">
        <v>22</v>
      </c>
      <c r="AH22" s="81" t="s">
        <v>22</v>
      </c>
      <c r="AI22" s="19">
        <f t="shared" si="0"/>
        <v>0.77419354838709675</v>
      </c>
    </row>
    <row r="23" spans="1:35" ht="15.75" customHeight="1" x14ac:dyDescent="0.25">
      <c r="A23" s="147" t="s">
        <v>27</v>
      </c>
      <c r="B23" s="148"/>
      <c r="C23" s="149"/>
      <c r="D23" s="22" t="s">
        <v>11</v>
      </c>
      <c r="E23" s="22" t="s">
        <v>11</v>
      </c>
      <c r="F23" s="22" t="s">
        <v>11</v>
      </c>
      <c r="G23" s="22" t="s">
        <v>11</v>
      </c>
      <c r="H23" s="22" t="s">
        <v>12</v>
      </c>
      <c r="I23" s="22" t="s">
        <v>12</v>
      </c>
      <c r="J23" s="22" t="s">
        <v>12</v>
      </c>
      <c r="K23" s="22" t="s">
        <v>12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11</v>
      </c>
      <c r="Q23" s="22" t="s">
        <v>11</v>
      </c>
      <c r="R23" s="22" t="s">
        <v>11</v>
      </c>
      <c r="S23" s="22" t="s">
        <v>11</v>
      </c>
      <c r="T23" s="22" t="s">
        <v>11</v>
      </c>
      <c r="U23" s="22" t="s">
        <v>11</v>
      </c>
      <c r="V23" s="22" t="s">
        <v>11</v>
      </c>
      <c r="W23" s="22" t="s">
        <v>11</v>
      </c>
      <c r="X23" s="22" t="s">
        <v>11</v>
      </c>
      <c r="Y23" s="22" t="s">
        <v>11</v>
      </c>
      <c r="Z23" s="22" t="s">
        <v>11</v>
      </c>
      <c r="AA23" s="22" t="s">
        <v>11</v>
      </c>
      <c r="AB23" s="22" t="s">
        <v>12</v>
      </c>
      <c r="AC23" s="22" t="s">
        <v>12</v>
      </c>
      <c r="AD23" s="22" t="s">
        <v>12</v>
      </c>
      <c r="AE23" s="22" t="s">
        <v>12</v>
      </c>
      <c r="AF23" s="22" t="s">
        <v>11</v>
      </c>
      <c r="AG23" s="22" t="s">
        <v>11</v>
      </c>
      <c r="AH23" s="22" t="s">
        <v>11</v>
      </c>
      <c r="AI23" s="13">
        <f t="shared" si="0"/>
        <v>0.74193548387096775</v>
      </c>
    </row>
    <row r="24" spans="1:35" ht="15.75" customHeight="1" x14ac:dyDescent="0.25">
      <c r="A24" s="138" t="s">
        <v>28</v>
      </c>
      <c r="B24" s="139"/>
      <c r="C24" s="140"/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12</v>
      </c>
      <c r="I24" s="14" t="s">
        <v>12</v>
      </c>
      <c r="J24" s="14" t="s">
        <v>12</v>
      </c>
      <c r="K24" s="14" t="s">
        <v>12</v>
      </c>
      <c r="L24" s="14" t="s">
        <v>11</v>
      </c>
      <c r="M24" s="14" t="s">
        <v>11</v>
      </c>
      <c r="N24" s="14" t="s">
        <v>11</v>
      </c>
      <c r="O24" s="14" t="s">
        <v>11</v>
      </c>
      <c r="P24" s="14" t="s">
        <v>11</v>
      </c>
      <c r="Q24" s="14" t="s">
        <v>11</v>
      </c>
      <c r="R24" s="14" t="s">
        <v>11</v>
      </c>
      <c r="S24" s="14" t="s">
        <v>11</v>
      </c>
      <c r="T24" s="14" t="s">
        <v>11</v>
      </c>
      <c r="U24" s="14" t="s">
        <v>11</v>
      </c>
      <c r="V24" s="14" t="s">
        <v>11</v>
      </c>
      <c r="W24" s="14" t="s">
        <v>11</v>
      </c>
      <c r="X24" s="14" t="s">
        <v>11</v>
      </c>
      <c r="Y24" s="14" t="s">
        <v>11</v>
      </c>
      <c r="Z24" s="14" t="s">
        <v>11</v>
      </c>
      <c r="AA24" s="14" t="s">
        <v>11</v>
      </c>
      <c r="AB24" s="14" t="s">
        <v>12</v>
      </c>
      <c r="AC24" s="14" t="s">
        <v>12</v>
      </c>
      <c r="AD24" s="14" t="s">
        <v>12</v>
      </c>
      <c r="AE24" s="14" t="s">
        <v>12</v>
      </c>
      <c r="AF24" s="14" t="s">
        <v>11</v>
      </c>
      <c r="AG24" s="14" t="s">
        <v>11</v>
      </c>
      <c r="AH24" s="14" t="s">
        <v>11</v>
      </c>
      <c r="AI24" s="17">
        <f t="shared" si="0"/>
        <v>0.74193548387096775</v>
      </c>
    </row>
    <row r="25" spans="1:35" ht="15.75" customHeight="1" x14ac:dyDescent="0.25">
      <c r="A25" s="144" t="s">
        <v>29</v>
      </c>
      <c r="B25" s="145"/>
      <c r="C25" s="146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22</v>
      </c>
      <c r="J25" s="81" t="s">
        <v>11</v>
      </c>
      <c r="K25" s="81" t="s">
        <v>11</v>
      </c>
      <c r="L25" s="81" t="s">
        <v>11</v>
      </c>
      <c r="M25" s="81" t="s">
        <v>11</v>
      </c>
      <c r="N25" s="81" t="s">
        <v>11</v>
      </c>
      <c r="O25" s="81" t="s">
        <v>11</v>
      </c>
      <c r="P25" s="81" t="s">
        <v>11</v>
      </c>
      <c r="Q25" s="81" t="s">
        <v>11</v>
      </c>
      <c r="R25" s="81" t="s">
        <v>11</v>
      </c>
      <c r="S25" s="81" t="s">
        <v>11</v>
      </c>
      <c r="T25" s="81" t="s">
        <v>11</v>
      </c>
      <c r="U25" s="81" t="s">
        <v>11</v>
      </c>
      <c r="V25" s="81" t="s">
        <v>11</v>
      </c>
      <c r="W25" s="81" t="s">
        <v>11</v>
      </c>
      <c r="X25" s="81" t="s">
        <v>11</v>
      </c>
      <c r="Y25" s="81" t="s">
        <v>11</v>
      </c>
      <c r="Z25" s="81" t="s">
        <v>11</v>
      </c>
      <c r="AA25" s="81" t="s">
        <v>11</v>
      </c>
      <c r="AB25" s="81" t="s">
        <v>11</v>
      </c>
      <c r="AC25" s="81" t="s">
        <v>11</v>
      </c>
      <c r="AD25" s="81" t="s">
        <v>22</v>
      </c>
      <c r="AE25" s="81" t="s">
        <v>22</v>
      </c>
      <c r="AF25" s="81" t="s">
        <v>11</v>
      </c>
      <c r="AG25" s="81" t="s">
        <v>11</v>
      </c>
      <c r="AH25" s="81" t="s">
        <v>11</v>
      </c>
      <c r="AI25" s="19">
        <f t="shared" si="0"/>
        <v>1</v>
      </c>
    </row>
    <row r="26" spans="1:35" ht="15.75" customHeight="1" x14ac:dyDescent="0.25">
      <c r="A26" s="144" t="s">
        <v>30</v>
      </c>
      <c r="B26" s="145"/>
      <c r="C26" s="146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22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22</v>
      </c>
      <c r="AE26" s="81" t="s">
        <v>22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41" t="s">
        <v>31</v>
      </c>
      <c r="B27" s="142"/>
      <c r="C27" s="143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8</v>
      </c>
      <c r="I27" s="72" t="s">
        <v>8</v>
      </c>
      <c r="J27" s="72" t="s">
        <v>9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9</v>
      </c>
      <c r="P27" s="72" t="s">
        <v>8</v>
      </c>
      <c r="Q27" s="72" t="s">
        <v>8</v>
      </c>
      <c r="R27" s="72" t="s">
        <v>9</v>
      </c>
      <c r="S27" s="72" t="s">
        <v>9</v>
      </c>
      <c r="T27" s="72" t="s">
        <v>8</v>
      </c>
      <c r="U27" s="72" t="s">
        <v>8</v>
      </c>
      <c r="V27" s="72" t="s">
        <v>8</v>
      </c>
      <c r="W27" s="72" t="s">
        <v>8</v>
      </c>
      <c r="X27" s="72" t="s">
        <v>8</v>
      </c>
      <c r="Y27" s="72" t="s">
        <v>8</v>
      </c>
      <c r="Z27" s="72" t="s">
        <v>9</v>
      </c>
      <c r="AA27" s="72" t="s">
        <v>9</v>
      </c>
      <c r="AB27" s="72" t="s">
        <v>22</v>
      </c>
      <c r="AC27" s="72" t="s">
        <v>22</v>
      </c>
      <c r="AD27" s="72" t="s">
        <v>22</v>
      </c>
      <c r="AE27" s="72" t="s">
        <v>22</v>
      </c>
      <c r="AF27" s="72" t="s">
        <v>9</v>
      </c>
      <c r="AG27" s="72" t="s">
        <v>8</v>
      </c>
      <c r="AH27" s="72" t="s">
        <v>8</v>
      </c>
      <c r="AI27" s="13">
        <f t="shared" si="0"/>
        <v>1</v>
      </c>
    </row>
    <row r="28" spans="1:35" ht="15.75" customHeight="1" x14ac:dyDescent="0.25">
      <c r="A28" s="156" t="s">
        <v>32</v>
      </c>
      <c r="B28" s="157"/>
      <c r="C28" s="158"/>
      <c r="D28" s="82">
        <v>3</v>
      </c>
      <c r="E28" s="82">
        <v>3</v>
      </c>
      <c r="F28" s="82">
        <v>3</v>
      </c>
      <c r="G28" s="82">
        <v>2</v>
      </c>
      <c r="H28" s="82">
        <v>2</v>
      </c>
      <c r="I28" s="82" t="s">
        <v>129</v>
      </c>
      <c r="J28" s="82" t="s">
        <v>124</v>
      </c>
      <c r="K28" s="82">
        <v>2</v>
      </c>
      <c r="L28" s="82">
        <v>2</v>
      </c>
      <c r="M28" s="82">
        <v>2</v>
      </c>
      <c r="N28" s="82">
        <v>3</v>
      </c>
      <c r="O28" s="82" t="s">
        <v>118</v>
      </c>
      <c r="P28" s="82" t="s">
        <v>116</v>
      </c>
      <c r="Q28" s="82">
        <v>3</v>
      </c>
      <c r="R28" s="82">
        <v>3</v>
      </c>
      <c r="S28" s="82">
        <v>3.5</v>
      </c>
      <c r="T28" s="28" t="s">
        <v>118</v>
      </c>
      <c r="U28" s="28" t="s">
        <v>118</v>
      </c>
      <c r="V28" s="28" t="s">
        <v>118</v>
      </c>
      <c r="W28" s="28" t="s">
        <v>118</v>
      </c>
      <c r="X28" s="28" t="s">
        <v>118</v>
      </c>
      <c r="Y28" s="28" t="s">
        <v>129</v>
      </c>
      <c r="Z28" s="28" t="s">
        <v>124</v>
      </c>
      <c r="AA28" s="28">
        <v>2</v>
      </c>
      <c r="AB28" s="28">
        <v>2</v>
      </c>
      <c r="AC28" s="28">
        <v>2</v>
      </c>
      <c r="AD28" s="28">
        <v>2</v>
      </c>
      <c r="AE28" s="28">
        <v>2</v>
      </c>
      <c r="AF28" s="28">
        <v>2</v>
      </c>
      <c r="AG28" s="28">
        <v>2</v>
      </c>
      <c r="AH28" s="28">
        <v>3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53" t="s">
        <v>99</v>
      </c>
      <c r="B29" s="154"/>
      <c r="C29" s="155"/>
      <c r="D29" s="83">
        <v>0</v>
      </c>
      <c r="E29" s="83">
        <v>7.1</v>
      </c>
      <c r="F29" s="83">
        <v>0.8</v>
      </c>
      <c r="G29" s="83">
        <v>7.3</v>
      </c>
      <c r="H29" s="83" t="s">
        <v>172</v>
      </c>
      <c r="I29" s="83" t="s">
        <v>173</v>
      </c>
      <c r="J29" s="83" t="s">
        <v>174</v>
      </c>
      <c r="K29" s="83" t="s">
        <v>175</v>
      </c>
      <c r="L29" s="83">
        <v>0</v>
      </c>
      <c r="M29" s="83">
        <v>0</v>
      </c>
      <c r="N29" s="83">
        <v>3.7</v>
      </c>
      <c r="O29" s="83" t="s">
        <v>176</v>
      </c>
      <c r="P29" s="83" t="s">
        <v>177</v>
      </c>
      <c r="Q29" s="83" t="s">
        <v>178</v>
      </c>
      <c r="R29" s="83">
        <v>7.2</v>
      </c>
      <c r="S29" s="83">
        <v>5.2</v>
      </c>
      <c r="T29" s="83">
        <v>0.5</v>
      </c>
      <c r="U29" s="83">
        <v>12.7</v>
      </c>
      <c r="V29" s="83" t="s">
        <v>179</v>
      </c>
      <c r="W29" s="83" t="s">
        <v>165</v>
      </c>
      <c r="X29" s="83" t="s">
        <v>180</v>
      </c>
      <c r="Y29" s="83" t="s">
        <v>181</v>
      </c>
      <c r="Z29" s="83">
        <v>4.0999999999999996</v>
      </c>
      <c r="AA29" s="83">
        <v>0.2</v>
      </c>
      <c r="AB29" s="29">
        <v>0.2</v>
      </c>
      <c r="AC29" s="83">
        <v>0</v>
      </c>
      <c r="AD29" s="83">
        <v>0</v>
      </c>
      <c r="AE29" s="83">
        <v>0</v>
      </c>
      <c r="AF29" s="29" t="s">
        <v>183</v>
      </c>
      <c r="AG29" s="29">
        <v>4.9000000000000004</v>
      </c>
      <c r="AH29" s="29">
        <v>10.7</v>
      </c>
      <c r="AI29" s="19">
        <f>IF(COUNTA(D29:AH29)&gt;0,(COUNTA(D29:AH29)-COUNTIF(D29:AH29,"NB")-COUNTIF(D29:AH29,"DN")-COUNTIF(D29:AH29,"An")-COUNTIF(D29:AH29,"NB^")-COUNTIF(D29:AH29,0))/COUNTA(D29:AH29),"")</f>
        <v>0.80645161290322576</v>
      </c>
    </row>
    <row r="30" spans="1:35" ht="15.75" customHeight="1" x14ac:dyDescent="0.25">
      <c r="A30" s="165" t="s">
        <v>33</v>
      </c>
      <c r="B30" s="166"/>
      <c r="C30" s="167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8</v>
      </c>
      <c r="J30" s="84" t="s">
        <v>9</v>
      </c>
      <c r="K30" s="84" t="s">
        <v>9</v>
      </c>
      <c r="L30" s="84" t="s">
        <v>9</v>
      </c>
      <c r="M30" s="84" t="s">
        <v>8</v>
      </c>
      <c r="N30" s="84" t="s">
        <v>8</v>
      </c>
      <c r="O30" s="84" t="s">
        <v>8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8</v>
      </c>
      <c r="U30" s="84" t="s">
        <v>8</v>
      </c>
      <c r="V30" s="84" t="s">
        <v>8</v>
      </c>
      <c r="W30" s="84" t="s">
        <v>8</v>
      </c>
      <c r="X30" s="84" t="s">
        <v>8</v>
      </c>
      <c r="Y30" s="84" t="s">
        <v>8</v>
      </c>
      <c r="Z30" s="84" t="s">
        <v>8</v>
      </c>
      <c r="AA30" s="84" t="s">
        <v>9</v>
      </c>
      <c r="AB30" s="84" t="s">
        <v>22</v>
      </c>
      <c r="AC30" s="84" t="s">
        <v>22</v>
      </c>
      <c r="AD30" s="84" t="s">
        <v>22</v>
      </c>
      <c r="AE30" s="84" t="s">
        <v>22</v>
      </c>
      <c r="AF30" s="84" t="s">
        <v>9</v>
      </c>
      <c r="AG30" s="84" t="s">
        <v>8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41" t="s">
        <v>34</v>
      </c>
      <c r="B31" s="142"/>
      <c r="C31" s="143"/>
      <c r="D31" s="72" t="s">
        <v>8</v>
      </c>
      <c r="E31" s="72" t="s">
        <v>8</v>
      </c>
      <c r="F31" s="72" t="s">
        <v>8</v>
      </c>
      <c r="G31" s="72" t="s">
        <v>8</v>
      </c>
      <c r="H31" s="72" t="s">
        <v>8</v>
      </c>
      <c r="I31" s="72" t="s">
        <v>8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9</v>
      </c>
      <c r="P31" s="72" t="s">
        <v>8</v>
      </c>
      <c r="Q31" s="72" t="s">
        <v>8</v>
      </c>
      <c r="R31" s="72" t="s">
        <v>9</v>
      </c>
      <c r="S31" s="72" t="s">
        <v>9</v>
      </c>
      <c r="T31" s="72" t="s">
        <v>8</v>
      </c>
      <c r="U31" s="72" t="s">
        <v>8</v>
      </c>
      <c r="V31" s="72" t="s">
        <v>8</v>
      </c>
      <c r="W31" s="72" t="s">
        <v>8</v>
      </c>
      <c r="X31" s="72" t="s">
        <v>8</v>
      </c>
      <c r="Y31" s="72" t="s">
        <v>8</v>
      </c>
      <c r="Z31" s="72" t="s">
        <v>9</v>
      </c>
      <c r="AA31" s="72" t="s">
        <v>9</v>
      </c>
      <c r="AB31" s="72" t="s">
        <v>22</v>
      </c>
      <c r="AC31" s="72" t="s">
        <v>22</v>
      </c>
      <c r="AD31" s="72" t="s">
        <v>22</v>
      </c>
      <c r="AE31" s="72" t="s">
        <v>22</v>
      </c>
      <c r="AF31" s="72" t="s">
        <v>9</v>
      </c>
      <c r="AG31" s="72" t="s">
        <v>8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8" t="s">
        <v>35</v>
      </c>
      <c r="B32" s="169"/>
      <c r="C32" s="170"/>
      <c r="D32" s="85" t="s">
        <v>8</v>
      </c>
      <c r="E32" s="85" t="s">
        <v>8</v>
      </c>
      <c r="F32" s="85" t="s">
        <v>8</v>
      </c>
      <c r="G32" s="85" t="s">
        <v>8</v>
      </c>
      <c r="H32" s="85" t="s">
        <v>8</v>
      </c>
      <c r="I32" s="85" t="s">
        <v>8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9</v>
      </c>
      <c r="P32" s="85" t="s">
        <v>8</v>
      </c>
      <c r="Q32" s="85" t="s">
        <v>8</v>
      </c>
      <c r="R32" s="85" t="s">
        <v>9</v>
      </c>
      <c r="S32" s="85" t="s">
        <v>9</v>
      </c>
      <c r="T32" s="85" t="s">
        <v>8</v>
      </c>
      <c r="U32" s="85" t="s">
        <v>8</v>
      </c>
      <c r="V32" s="85" t="s">
        <v>8</v>
      </c>
      <c r="W32" s="85" t="s">
        <v>8</v>
      </c>
      <c r="X32" s="85" t="s">
        <v>8</v>
      </c>
      <c r="Y32" s="85" t="s">
        <v>8</v>
      </c>
      <c r="Z32" s="85" t="s">
        <v>9</v>
      </c>
      <c r="AA32" s="85" t="s">
        <v>9</v>
      </c>
      <c r="AB32" s="85" t="s">
        <v>22</v>
      </c>
      <c r="AC32" s="85" t="s">
        <v>22</v>
      </c>
      <c r="AD32" s="85" t="s">
        <v>22</v>
      </c>
      <c r="AE32" s="85" t="s">
        <v>22</v>
      </c>
      <c r="AF32" s="85" t="s">
        <v>9</v>
      </c>
      <c r="AG32" s="85" t="s">
        <v>8</v>
      </c>
      <c r="AH32" s="85" t="s">
        <v>8</v>
      </c>
      <c r="AI32" s="17">
        <f t="shared" si="0"/>
        <v>1</v>
      </c>
    </row>
    <row r="33" spans="1:44" ht="15.75" customHeight="1" x14ac:dyDescent="0.25">
      <c r="A33" s="144" t="s">
        <v>36</v>
      </c>
      <c r="B33" s="145"/>
      <c r="C33" s="146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  <c r="O33" s="25" t="s">
        <v>11</v>
      </c>
      <c r="P33" s="25" t="s">
        <v>11</v>
      </c>
      <c r="Q33" s="25" t="s">
        <v>11</v>
      </c>
      <c r="R33" s="25" t="s">
        <v>11</v>
      </c>
      <c r="S33" s="25" t="s">
        <v>11</v>
      </c>
      <c r="T33" s="24" t="s">
        <v>11</v>
      </c>
      <c r="U33" s="24" t="s">
        <v>11</v>
      </c>
      <c r="V33" s="24" t="s">
        <v>11</v>
      </c>
      <c r="W33" s="24" t="s">
        <v>11</v>
      </c>
      <c r="X33" s="24" t="s">
        <v>11</v>
      </c>
      <c r="Y33" s="24" t="s">
        <v>11</v>
      </c>
      <c r="Z33" s="24" t="s">
        <v>11</v>
      </c>
      <c r="AA33" s="24" t="s">
        <v>11</v>
      </c>
      <c r="AB33" s="25" t="s">
        <v>22</v>
      </c>
      <c r="AC33" s="25" t="s">
        <v>22</v>
      </c>
      <c r="AD33" s="25" t="s">
        <v>22</v>
      </c>
      <c r="AE33" s="25" t="s">
        <v>22</v>
      </c>
      <c r="AF33" s="25" t="s">
        <v>11</v>
      </c>
      <c r="AG33" s="25" t="s">
        <v>11</v>
      </c>
      <c r="AH33" s="25" t="s">
        <v>11</v>
      </c>
      <c r="AI33" s="19">
        <f t="shared" si="0"/>
        <v>1</v>
      </c>
    </row>
    <row r="34" spans="1:44" ht="15.75" customHeight="1" x14ac:dyDescent="0.25">
      <c r="A34" s="144" t="s">
        <v>95</v>
      </c>
      <c r="B34" s="145"/>
      <c r="C34" s="146"/>
      <c r="D34" s="24" t="s">
        <v>11</v>
      </c>
      <c r="E34" s="24" t="s">
        <v>11</v>
      </c>
      <c r="F34" s="24" t="s">
        <v>11</v>
      </c>
      <c r="G34" s="24" t="s">
        <v>11</v>
      </c>
      <c r="H34" s="24" t="s">
        <v>11</v>
      </c>
      <c r="I34" s="24" t="s">
        <v>11</v>
      </c>
      <c r="J34" s="24" t="s">
        <v>22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5" t="s">
        <v>22</v>
      </c>
      <c r="AC34" s="25" t="s">
        <v>22</v>
      </c>
      <c r="AD34" s="25" t="s">
        <v>22</v>
      </c>
      <c r="AE34" s="25" t="s">
        <v>22</v>
      </c>
      <c r="AF34" s="25" t="s">
        <v>11</v>
      </c>
      <c r="AG34" s="25" t="s">
        <v>11</v>
      </c>
      <c r="AH34" s="25" t="s">
        <v>11</v>
      </c>
      <c r="AI34" s="19">
        <f t="shared" si="0"/>
        <v>1</v>
      </c>
    </row>
    <row r="35" spans="1:44" ht="15.75" customHeight="1" thickBot="1" x14ac:dyDescent="0.3">
      <c r="A35" s="171" t="s">
        <v>96</v>
      </c>
      <c r="B35" s="172"/>
      <c r="C35" s="173"/>
      <c r="D35" s="96" t="s">
        <v>11</v>
      </c>
      <c r="E35" s="96" t="s">
        <v>11</v>
      </c>
      <c r="F35" s="96" t="s">
        <v>11</v>
      </c>
      <c r="G35" s="96" t="s">
        <v>11</v>
      </c>
      <c r="H35" s="96" t="s">
        <v>11</v>
      </c>
      <c r="I35" s="96" t="s">
        <v>11</v>
      </c>
      <c r="J35" s="96" t="s">
        <v>22</v>
      </c>
      <c r="K35" s="96" t="s">
        <v>11</v>
      </c>
      <c r="L35" s="96" t="s">
        <v>11</v>
      </c>
      <c r="M35" s="96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7" t="s">
        <v>22</v>
      </c>
      <c r="AC35" s="97" t="s">
        <v>22</v>
      </c>
      <c r="AD35" s="97" t="s">
        <v>22</v>
      </c>
      <c r="AE35" s="97" t="s">
        <v>22</v>
      </c>
      <c r="AF35" s="97" t="s">
        <v>11</v>
      </c>
      <c r="AG35" s="97" t="s">
        <v>11</v>
      </c>
      <c r="AH35" s="97" t="s">
        <v>11</v>
      </c>
      <c r="AI35" s="98">
        <f>IF(COUNTA(D35:AH35)&gt;0,(COUNTA(D35:AH35)-COUNTIF(D35:AH35,"NB")-COUNTIF(D35:AH35,"DN")-COUNTIF(D35:AH35,"An")-COUNTIF(D35:AH35,"NB^")-COUNTIF(D35:AH35,0))/COUNTA(D35:AH35),"")</f>
        <v>1</v>
      </c>
    </row>
    <row r="36" spans="1:44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76"/>
      <c r="H36" s="76"/>
      <c r="I36" s="76"/>
      <c r="J36" s="76"/>
      <c r="K36" s="31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99"/>
      <c r="W36" s="76"/>
      <c r="X36" s="76"/>
      <c r="Y36" s="76"/>
      <c r="Z36" s="76"/>
      <c r="AA36" s="76"/>
      <c r="AB36" s="76"/>
      <c r="AC36" s="76"/>
      <c r="AD36" s="76"/>
      <c r="AE36" s="76"/>
      <c r="AF36" s="31" t="s">
        <v>182</v>
      </c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100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>IF(AND(P5&gt;0,COUNTA(P6:P37)&gt;0,COUNTA(P6:P37)-COUNTIF(P6:P37,"NB")-COUNTIF(P30:P31, "0")=COUNTA(P6:P37)),"AB","")</f>
        <v/>
      </c>
      <c r="Q38" s="37" t="str">
        <f>IF(AND(Q5&gt;0,COUNTA(Q6:Q37)&gt;0,COUNTA(Q6:Q37)-COUNTIF(Q6:Q37,"NB")-COUNTIF(Q30:Q31, "0")=COUNTA(Q6:Q37)),"AB","")</f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>IF(AND(Q5:Q5&gt;0,COUNTA(Q6:Q34),COUNTIF(Q6:Q34,"NB")+COUNTIF(Q6:Q34,0)=COUNTA(Q6:Q34)),"ANB","")</f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F40" s="104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7:C37"/>
    <mergeCell ref="A41:AH41"/>
    <mergeCell ref="A30:C30"/>
    <mergeCell ref="A31:C31"/>
    <mergeCell ref="A32:C32"/>
    <mergeCell ref="A33:C33"/>
    <mergeCell ref="A34:C34"/>
    <mergeCell ref="A36:C36"/>
    <mergeCell ref="A35:C35"/>
  </mergeCells>
  <conditionalFormatting sqref="F27:F35 F6:F7 F15:F21 L9:AG28 L30:AG35 N29:AB29 AF29:AG29 L6:AH7 AH9:AH35">
    <cfRule type="containsText" dxfId="893" priority="56" operator="containsText" text="NB">
      <formula>NOT(ISERROR(SEARCH("NB",F6)))</formula>
    </cfRule>
    <cfRule type="containsText" dxfId="892" priority="57" operator="containsText" text="M">
      <formula>NOT(ISERROR(SEARCH("M",F6)))</formula>
    </cfRule>
    <cfRule type="containsText" dxfId="891" priority="58" operator="containsText" text="B">
      <formula>NOT(ISERROR(SEARCH("B",F6)))</formula>
    </cfRule>
  </conditionalFormatting>
  <conditionalFormatting sqref="D22:F24">
    <cfRule type="cellIs" dxfId="890" priority="53" stopIfTrue="1" operator="equal">
      <formula>"B"</formula>
    </cfRule>
    <cfRule type="cellIs" dxfId="889" priority="54" stopIfTrue="1" operator="equal">
      <formula>"M"</formula>
    </cfRule>
    <cfRule type="cellIs" dxfId="888" priority="55" stopIfTrue="1" operator="between">
      <formula>"NB"</formula>
      <formula>"NB^"</formula>
    </cfRule>
  </conditionalFormatting>
  <conditionalFormatting sqref="D25:D27 D6:E7 D18:E21 D30:E32 D34:E35 E27 E25:F26 D8:AH8">
    <cfRule type="cellIs" dxfId="887" priority="49" stopIfTrue="1" operator="equal">
      <formula>"B"</formula>
    </cfRule>
    <cfRule type="cellIs" dxfId="886" priority="50" stopIfTrue="1" operator="equal">
      <formula>"M"</formula>
    </cfRule>
    <cfRule type="cellIs" dxfId="885" priority="51" stopIfTrue="1" operator="between">
      <formula>"NB"</formula>
      <formula>"NB^"</formula>
    </cfRule>
  </conditionalFormatting>
  <conditionalFormatting sqref="D28:E28">
    <cfRule type="cellIs" dxfId="884" priority="52" stopIfTrue="1" operator="equal">
      <formula>0</formula>
    </cfRule>
  </conditionalFormatting>
  <conditionalFormatting sqref="D15:E17">
    <cfRule type="cellIs" dxfId="883" priority="46" stopIfTrue="1" operator="equal">
      <formula>"B"</formula>
    </cfRule>
    <cfRule type="cellIs" dxfId="882" priority="47" stopIfTrue="1" operator="equal">
      <formula>"M"</formula>
    </cfRule>
    <cfRule type="cellIs" dxfId="881" priority="48" stopIfTrue="1" operator="between">
      <formula>"NB"</formula>
      <formula>"NB^"</formula>
    </cfRule>
  </conditionalFormatting>
  <conditionalFormatting sqref="D29:AH29">
    <cfRule type="cellIs" dxfId="880" priority="45" stopIfTrue="1" operator="equal">
      <formula>0</formula>
    </cfRule>
  </conditionalFormatting>
  <conditionalFormatting sqref="D33:E33">
    <cfRule type="cellIs" dxfId="879" priority="42" stopIfTrue="1" operator="equal">
      <formula>"B"</formula>
    </cfRule>
    <cfRule type="cellIs" dxfId="878" priority="43" stopIfTrue="1" operator="equal">
      <formula>"M"</formula>
    </cfRule>
    <cfRule type="cellIs" dxfId="877" priority="44" stopIfTrue="1" operator="between">
      <formula>"NB"</formula>
      <formula>"NB^"</formula>
    </cfRule>
  </conditionalFormatting>
  <conditionalFormatting sqref="D9:F14">
    <cfRule type="cellIs" dxfId="876" priority="39" stopIfTrue="1" operator="equal">
      <formula>"B"</formula>
    </cfRule>
    <cfRule type="cellIs" dxfId="875" priority="40" stopIfTrue="1" operator="equal">
      <formula>"M"</formula>
    </cfRule>
    <cfRule type="cellIs" dxfId="874" priority="41" stopIfTrue="1" operator="between">
      <formula>"NB"</formula>
      <formula>"NB^"</formula>
    </cfRule>
  </conditionalFormatting>
  <conditionalFormatting sqref="G27:G35 G6:G7 G15:G21">
    <cfRule type="containsText" dxfId="873" priority="36" operator="containsText" text="NB">
      <formula>NOT(ISERROR(SEARCH("NB",G6)))</formula>
    </cfRule>
    <cfRule type="containsText" dxfId="872" priority="37" operator="containsText" text="M">
      <formula>NOT(ISERROR(SEARCH("M",G6)))</formula>
    </cfRule>
    <cfRule type="containsText" dxfId="871" priority="38" operator="containsText" text="B">
      <formula>NOT(ISERROR(SEARCH("B",G6)))</formula>
    </cfRule>
  </conditionalFormatting>
  <conditionalFormatting sqref="G22:G24">
    <cfRule type="cellIs" dxfId="870" priority="33" stopIfTrue="1" operator="equal">
      <formula>"B"</formula>
    </cfRule>
    <cfRule type="cellIs" dxfId="869" priority="34" stopIfTrue="1" operator="equal">
      <formula>"M"</formula>
    </cfRule>
    <cfRule type="cellIs" dxfId="868" priority="35" stopIfTrue="1" operator="between">
      <formula>"NB"</formula>
      <formula>"NB^"</formula>
    </cfRule>
  </conditionalFormatting>
  <conditionalFormatting sqref="G25:G26">
    <cfRule type="cellIs" dxfId="867" priority="30" stopIfTrue="1" operator="equal">
      <formula>"B"</formula>
    </cfRule>
    <cfRule type="cellIs" dxfId="866" priority="31" stopIfTrue="1" operator="equal">
      <formula>"M"</formula>
    </cfRule>
    <cfRule type="cellIs" dxfId="865" priority="32" stopIfTrue="1" operator="between">
      <formula>"NB"</formula>
      <formula>"NB^"</formula>
    </cfRule>
  </conditionalFormatting>
  <conditionalFormatting sqref="G9:G14">
    <cfRule type="cellIs" dxfId="864" priority="27" stopIfTrue="1" operator="equal">
      <formula>"B"</formula>
    </cfRule>
    <cfRule type="cellIs" dxfId="863" priority="28" stopIfTrue="1" operator="equal">
      <formula>"M"</formula>
    </cfRule>
    <cfRule type="cellIs" dxfId="862" priority="29" stopIfTrue="1" operator="between">
      <formula>"NB"</formula>
      <formula>"NB^"</formula>
    </cfRule>
  </conditionalFormatting>
  <conditionalFormatting sqref="H27:H35 H6:H7 H15:H21">
    <cfRule type="containsText" dxfId="861" priority="24" operator="containsText" text="NB">
      <formula>NOT(ISERROR(SEARCH("NB",H6)))</formula>
    </cfRule>
    <cfRule type="containsText" dxfId="860" priority="25" operator="containsText" text="M">
      <formula>NOT(ISERROR(SEARCH("M",H6)))</formula>
    </cfRule>
    <cfRule type="containsText" dxfId="859" priority="26" operator="containsText" text="B">
      <formula>NOT(ISERROR(SEARCH("B",H6)))</formula>
    </cfRule>
  </conditionalFormatting>
  <conditionalFormatting sqref="H22:H24">
    <cfRule type="cellIs" dxfId="858" priority="21" stopIfTrue="1" operator="equal">
      <formula>"B"</formula>
    </cfRule>
    <cfRule type="cellIs" dxfId="857" priority="22" stopIfTrue="1" operator="equal">
      <formula>"M"</formula>
    </cfRule>
    <cfRule type="cellIs" dxfId="856" priority="23" stopIfTrue="1" operator="between">
      <formula>"NB"</formula>
      <formula>"NB^"</formula>
    </cfRule>
  </conditionalFormatting>
  <conditionalFormatting sqref="H25:H26">
    <cfRule type="cellIs" dxfId="855" priority="18" stopIfTrue="1" operator="equal">
      <formula>"B"</formula>
    </cfRule>
    <cfRule type="cellIs" dxfId="854" priority="19" stopIfTrue="1" operator="equal">
      <formula>"M"</formula>
    </cfRule>
    <cfRule type="cellIs" dxfId="853" priority="20" stopIfTrue="1" operator="between">
      <formula>"NB"</formula>
      <formula>"NB^"</formula>
    </cfRule>
  </conditionalFormatting>
  <conditionalFormatting sqref="H9:H14">
    <cfRule type="cellIs" dxfId="852" priority="15" stopIfTrue="1" operator="equal">
      <formula>"B"</formula>
    </cfRule>
    <cfRule type="cellIs" dxfId="851" priority="16" stopIfTrue="1" operator="equal">
      <formula>"M"</formula>
    </cfRule>
    <cfRule type="cellIs" dxfId="850" priority="17" stopIfTrue="1" operator="between">
      <formula>"NB"</formula>
      <formula>"NB^"</formula>
    </cfRule>
  </conditionalFormatting>
  <conditionalFormatting sqref="I27:K35 I6:K7 I15:K21">
    <cfRule type="containsText" dxfId="849" priority="12" operator="containsText" text="NB">
      <formula>NOT(ISERROR(SEARCH("NB",I6)))</formula>
    </cfRule>
    <cfRule type="containsText" dxfId="848" priority="13" operator="containsText" text="M">
      <formula>NOT(ISERROR(SEARCH("M",I6)))</formula>
    </cfRule>
    <cfRule type="containsText" dxfId="847" priority="14" operator="containsText" text="B">
      <formula>NOT(ISERROR(SEARCH("B",I6)))</formula>
    </cfRule>
  </conditionalFormatting>
  <conditionalFormatting sqref="I22:K24">
    <cfRule type="cellIs" dxfId="846" priority="9" stopIfTrue="1" operator="equal">
      <formula>"B"</formula>
    </cfRule>
    <cfRule type="cellIs" dxfId="845" priority="10" stopIfTrue="1" operator="equal">
      <formula>"M"</formula>
    </cfRule>
    <cfRule type="cellIs" dxfId="844" priority="11" stopIfTrue="1" operator="between">
      <formula>"NB"</formula>
      <formula>"NB^"</formula>
    </cfRule>
  </conditionalFormatting>
  <conditionalFormatting sqref="I25:K26">
    <cfRule type="cellIs" dxfId="843" priority="6" stopIfTrue="1" operator="equal">
      <formula>"B"</formula>
    </cfRule>
    <cfRule type="cellIs" dxfId="842" priority="7" stopIfTrue="1" operator="equal">
      <formula>"M"</formula>
    </cfRule>
    <cfRule type="cellIs" dxfId="841" priority="8" stopIfTrue="1" operator="between">
      <formula>"NB"</formula>
      <formula>"NB^"</formula>
    </cfRule>
  </conditionalFormatting>
  <conditionalFormatting sqref="I9:K14">
    <cfRule type="cellIs" dxfId="840" priority="3" stopIfTrue="1" operator="equal">
      <formula>"B"</formula>
    </cfRule>
    <cfRule type="cellIs" dxfId="839" priority="4" stopIfTrue="1" operator="equal">
      <formula>"M"</formula>
    </cfRule>
    <cfRule type="cellIs" dxfId="838" priority="5" stopIfTrue="1" operator="between">
      <formula>"NB"</formula>
      <formula>"NB^"</formula>
    </cfRule>
  </conditionalFormatting>
  <conditionalFormatting sqref="L29:M29">
    <cfRule type="cellIs" dxfId="837" priority="2" stopIfTrue="1" operator="equal">
      <formula>0</formula>
    </cfRule>
  </conditionalFormatting>
  <conditionalFormatting sqref="AC29:AE29">
    <cfRule type="cellIs" dxfId="836" priority="1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91</v>
      </c>
    </row>
    <row r="3" spans="1:43" ht="23.25" x14ac:dyDescent="0.35">
      <c r="A3" s="1" t="s">
        <v>2</v>
      </c>
      <c r="P3" s="4" t="s">
        <v>106</v>
      </c>
    </row>
    <row r="4" spans="1:43" s="5" customFormat="1" ht="15.75" customHeight="1" thickBot="1" x14ac:dyDescent="0.3">
      <c r="C4" s="6"/>
      <c r="I4" s="6" t="s">
        <v>3</v>
      </c>
      <c r="J4" s="5" t="s">
        <v>3</v>
      </c>
      <c r="P4" s="6" t="s">
        <v>3</v>
      </c>
      <c r="Q4" s="5" t="s">
        <v>3</v>
      </c>
      <c r="W4" s="5" t="s">
        <v>3</v>
      </c>
      <c r="X4" s="5" t="s">
        <v>3</v>
      </c>
      <c r="AD4" s="5" t="s">
        <v>3</v>
      </c>
      <c r="AE4" s="5" t="s">
        <v>3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41" t="s">
        <v>7</v>
      </c>
      <c r="B6" s="142"/>
      <c r="C6" s="143"/>
      <c r="D6" s="72" t="s">
        <v>8</v>
      </c>
      <c r="E6" s="72" t="s">
        <v>8</v>
      </c>
      <c r="F6" s="72" t="s">
        <v>9</v>
      </c>
      <c r="G6" s="72" t="s">
        <v>9</v>
      </c>
      <c r="H6" s="72" t="s">
        <v>8</v>
      </c>
      <c r="I6" s="72" t="s">
        <v>8</v>
      </c>
      <c r="J6" s="72" t="s">
        <v>8</v>
      </c>
      <c r="K6" s="72" t="s">
        <v>8</v>
      </c>
      <c r="L6" s="72" t="s">
        <v>8</v>
      </c>
      <c r="M6" s="72" t="s">
        <v>9</v>
      </c>
      <c r="N6" s="72" t="s">
        <v>9</v>
      </c>
      <c r="O6" s="72" t="s">
        <v>8</v>
      </c>
      <c r="P6" s="72" t="s">
        <v>9</v>
      </c>
      <c r="Q6" s="72" t="s">
        <v>9</v>
      </c>
      <c r="R6" s="72" t="s">
        <v>8</v>
      </c>
      <c r="S6" s="72" t="s">
        <v>8</v>
      </c>
      <c r="T6" s="72" t="s">
        <v>9</v>
      </c>
      <c r="U6" s="72" t="s">
        <v>9</v>
      </c>
      <c r="V6" s="72" t="s">
        <v>9</v>
      </c>
      <c r="W6" s="72" t="s">
        <v>9</v>
      </c>
      <c r="X6" s="72" t="s">
        <v>22</v>
      </c>
      <c r="Y6" s="72" t="s">
        <v>22</v>
      </c>
      <c r="Z6" s="72" t="s">
        <v>22</v>
      </c>
      <c r="AA6" s="72" t="s">
        <v>9</v>
      </c>
      <c r="AB6" s="72" t="s">
        <v>9</v>
      </c>
      <c r="AC6" s="72" t="s">
        <v>9</v>
      </c>
      <c r="AD6" s="72" t="s">
        <v>9</v>
      </c>
      <c r="AE6" s="72" t="s">
        <v>8</v>
      </c>
      <c r="AF6" s="72" t="s">
        <v>8</v>
      </c>
      <c r="AG6" s="72" t="s">
        <v>9</v>
      </c>
      <c r="AH6" s="13">
        <f t="shared" ref="AH6:AH34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25">
      <c r="A7" s="138" t="s">
        <v>10</v>
      </c>
      <c r="B7" s="139"/>
      <c r="C7" s="14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22</v>
      </c>
      <c r="Y7" s="14" t="s">
        <v>22</v>
      </c>
      <c r="Z7" s="14" t="s">
        <v>12</v>
      </c>
      <c r="AA7" s="14" t="s">
        <v>22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73" t="s">
        <v>11</v>
      </c>
      <c r="AH7" s="17">
        <f t="shared" si="0"/>
        <v>0.96666666666666667</v>
      </c>
    </row>
    <row r="8" spans="1:43" ht="15.75" customHeight="1" x14ac:dyDescent="0.25">
      <c r="A8" s="144" t="s">
        <v>94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9">
        <f t="shared" si="0"/>
        <v>0</v>
      </c>
    </row>
    <row r="9" spans="1:43" ht="15.75" customHeight="1" x14ac:dyDescent="0.25">
      <c r="A9" s="147" t="s">
        <v>13</v>
      </c>
      <c r="B9" s="148"/>
      <c r="C9" s="149"/>
      <c r="D9" s="79" t="s">
        <v>11</v>
      </c>
      <c r="E9" s="79" t="s">
        <v>12</v>
      </c>
      <c r="F9" s="20" t="s">
        <v>12</v>
      </c>
      <c r="G9" s="20" t="s">
        <v>12</v>
      </c>
      <c r="H9" s="20" t="s">
        <v>12</v>
      </c>
      <c r="I9" s="20" t="s">
        <v>11</v>
      </c>
      <c r="J9" s="20" t="s">
        <v>11</v>
      </c>
      <c r="K9" s="20" t="s">
        <v>12</v>
      </c>
      <c r="L9" s="20" t="s">
        <v>11</v>
      </c>
      <c r="M9" s="20" t="s">
        <v>12</v>
      </c>
      <c r="N9" s="20" t="s">
        <v>11</v>
      </c>
      <c r="O9" s="20" t="s">
        <v>11</v>
      </c>
      <c r="P9" s="20" t="s">
        <v>11</v>
      </c>
      <c r="Q9" s="20" t="s">
        <v>11</v>
      </c>
      <c r="R9" s="20" t="s">
        <v>11</v>
      </c>
      <c r="S9" s="20" t="s">
        <v>11</v>
      </c>
      <c r="T9" s="20" t="s">
        <v>12</v>
      </c>
      <c r="U9" s="20" t="s">
        <v>12</v>
      </c>
      <c r="V9" s="20" t="s">
        <v>11</v>
      </c>
      <c r="W9" s="20" t="s">
        <v>11</v>
      </c>
      <c r="X9" s="20" t="s">
        <v>11</v>
      </c>
      <c r="Y9" s="20" t="s">
        <v>11</v>
      </c>
      <c r="Z9" s="20" t="s">
        <v>11</v>
      </c>
      <c r="AA9" s="20" t="s">
        <v>12</v>
      </c>
      <c r="AB9" s="20" t="s">
        <v>12</v>
      </c>
      <c r="AC9" s="20" t="s">
        <v>12</v>
      </c>
      <c r="AD9" s="20" t="s">
        <v>12</v>
      </c>
      <c r="AE9" s="20" t="s">
        <v>11</v>
      </c>
      <c r="AF9" s="20" t="s">
        <v>12</v>
      </c>
      <c r="AG9" s="20" t="s">
        <v>11</v>
      </c>
      <c r="AH9" s="13">
        <f t="shared" si="0"/>
        <v>0.56666666666666665</v>
      </c>
    </row>
    <row r="10" spans="1:43" ht="15.75" customHeight="1" x14ac:dyDescent="0.25">
      <c r="A10" s="150" t="s">
        <v>14</v>
      </c>
      <c r="B10" s="151"/>
      <c r="C10" s="152"/>
      <c r="D10" s="80" t="s">
        <v>11</v>
      </c>
      <c r="E10" s="80" t="s">
        <v>12</v>
      </c>
      <c r="F10" s="16" t="s">
        <v>12</v>
      </c>
      <c r="G10" s="16" t="s">
        <v>12</v>
      </c>
      <c r="H10" s="16" t="s">
        <v>12</v>
      </c>
      <c r="I10" s="16" t="s">
        <v>11</v>
      </c>
      <c r="J10" s="16" t="s">
        <v>11</v>
      </c>
      <c r="K10" s="16" t="s">
        <v>12</v>
      </c>
      <c r="L10" s="16" t="s">
        <v>11</v>
      </c>
      <c r="M10" s="16" t="s">
        <v>12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12</v>
      </c>
      <c r="U10" s="16" t="s">
        <v>12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11</v>
      </c>
      <c r="AF10" s="16" t="s">
        <v>12</v>
      </c>
      <c r="AG10" s="16" t="s">
        <v>11</v>
      </c>
      <c r="AH10" s="21">
        <f t="shared" si="0"/>
        <v>0.56666666666666665</v>
      </c>
    </row>
    <row r="11" spans="1:43" ht="15.75" customHeight="1" x14ac:dyDescent="0.25">
      <c r="A11" s="150" t="s">
        <v>15</v>
      </c>
      <c r="B11" s="151"/>
      <c r="C11" s="152"/>
      <c r="D11" s="80" t="s">
        <v>11</v>
      </c>
      <c r="E11" s="80" t="s">
        <v>12</v>
      </c>
      <c r="F11" s="16" t="s">
        <v>12</v>
      </c>
      <c r="G11" s="16" t="s">
        <v>12</v>
      </c>
      <c r="H11" s="16" t="s">
        <v>11</v>
      </c>
      <c r="I11" s="16" t="s">
        <v>11</v>
      </c>
      <c r="J11" s="16" t="s">
        <v>11</v>
      </c>
      <c r="K11" s="16" t="s">
        <v>11</v>
      </c>
      <c r="L11" s="16" t="s">
        <v>11</v>
      </c>
      <c r="M11" s="16" t="s">
        <v>12</v>
      </c>
      <c r="N11" s="16" t="s">
        <v>11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12</v>
      </c>
      <c r="U11" s="16" t="s">
        <v>12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11</v>
      </c>
      <c r="AF11" s="16" t="s">
        <v>12</v>
      </c>
      <c r="AG11" s="16" t="s">
        <v>11</v>
      </c>
      <c r="AH11" s="21">
        <f t="shared" si="0"/>
        <v>0.6333333333333333</v>
      </c>
    </row>
    <row r="12" spans="1:43" ht="15.75" customHeight="1" x14ac:dyDescent="0.25">
      <c r="A12" s="150" t="s">
        <v>16</v>
      </c>
      <c r="B12" s="151"/>
      <c r="C12" s="152"/>
      <c r="D12" s="80" t="s">
        <v>11</v>
      </c>
      <c r="E12" s="80" t="s">
        <v>12</v>
      </c>
      <c r="F12" s="16" t="s">
        <v>12</v>
      </c>
      <c r="G12" s="16" t="s">
        <v>12</v>
      </c>
      <c r="H12" s="16" t="s">
        <v>11</v>
      </c>
      <c r="I12" s="16" t="s">
        <v>11</v>
      </c>
      <c r="J12" s="16" t="s">
        <v>11</v>
      </c>
      <c r="K12" s="16" t="s">
        <v>11</v>
      </c>
      <c r="L12" s="16" t="s">
        <v>11</v>
      </c>
      <c r="M12" s="16" t="s">
        <v>12</v>
      </c>
      <c r="N12" s="16" t="s">
        <v>11</v>
      </c>
      <c r="O12" s="16" t="s">
        <v>11</v>
      </c>
      <c r="P12" s="16" t="s">
        <v>11</v>
      </c>
      <c r="Q12" s="16" t="s">
        <v>11</v>
      </c>
      <c r="R12" s="16" t="s">
        <v>11</v>
      </c>
      <c r="S12" s="16" t="s">
        <v>11</v>
      </c>
      <c r="T12" s="16" t="s">
        <v>12</v>
      </c>
      <c r="U12" s="16" t="s">
        <v>12</v>
      </c>
      <c r="V12" s="16" t="s">
        <v>11</v>
      </c>
      <c r="W12" s="16" t="s">
        <v>11</v>
      </c>
      <c r="X12" s="16" t="s">
        <v>11</v>
      </c>
      <c r="Y12" s="16" t="s">
        <v>11</v>
      </c>
      <c r="Z12" s="16" t="s">
        <v>11</v>
      </c>
      <c r="AA12" s="16" t="s">
        <v>12</v>
      </c>
      <c r="AB12" s="16" t="s">
        <v>12</v>
      </c>
      <c r="AC12" s="16" t="s">
        <v>12</v>
      </c>
      <c r="AD12" s="16" t="s">
        <v>12</v>
      </c>
      <c r="AE12" s="16" t="s">
        <v>11</v>
      </c>
      <c r="AF12" s="16" t="s">
        <v>12</v>
      </c>
      <c r="AG12" s="16" t="s">
        <v>11</v>
      </c>
      <c r="AH12" s="21">
        <f t="shared" si="0"/>
        <v>0.6333333333333333</v>
      </c>
    </row>
    <row r="13" spans="1:43" ht="15.75" customHeight="1" x14ac:dyDescent="0.25">
      <c r="A13" s="150" t="s">
        <v>17</v>
      </c>
      <c r="B13" s="151"/>
      <c r="C13" s="152"/>
      <c r="D13" s="80" t="s">
        <v>11</v>
      </c>
      <c r="E13" s="80" t="s">
        <v>12</v>
      </c>
      <c r="F13" s="16" t="s">
        <v>12</v>
      </c>
      <c r="G13" s="16" t="s">
        <v>12</v>
      </c>
      <c r="H13" s="16" t="s">
        <v>11</v>
      </c>
      <c r="I13" s="16" t="s">
        <v>11</v>
      </c>
      <c r="J13" s="16" t="s">
        <v>11</v>
      </c>
      <c r="K13" s="16" t="s">
        <v>12</v>
      </c>
      <c r="L13" s="16" t="s">
        <v>11</v>
      </c>
      <c r="M13" s="16" t="s">
        <v>12</v>
      </c>
      <c r="N13" s="16" t="s">
        <v>12</v>
      </c>
      <c r="O13" s="16" t="s">
        <v>11</v>
      </c>
      <c r="P13" s="16" t="s">
        <v>11</v>
      </c>
      <c r="Q13" s="16" t="s">
        <v>11</v>
      </c>
      <c r="R13" s="16" t="s">
        <v>11</v>
      </c>
      <c r="S13" s="16" t="s">
        <v>11</v>
      </c>
      <c r="T13" s="16" t="s">
        <v>11</v>
      </c>
      <c r="U13" s="16" t="s">
        <v>12</v>
      </c>
      <c r="V13" s="16" t="s">
        <v>11</v>
      </c>
      <c r="W13" s="16" t="s">
        <v>11</v>
      </c>
      <c r="X13" s="16" t="s">
        <v>11</v>
      </c>
      <c r="Y13" s="16" t="s">
        <v>11</v>
      </c>
      <c r="Z13" s="16" t="s">
        <v>11</v>
      </c>
      <c r="AA13" s="16" t="s">
        <v>11</v>
      </c>
      <c r="AB13" s="16" t="s">
        <v>12</v>
      </c>
      <c r="AC13" s="16" t="s">
        <v>12</v>
      </c>
      <c r="AD13" s="16" t="s">
        <v>12</v>
      </c>
      <c r="AE13" s="16" t="s">
        <v>11</v>
      </c>
      <c r="AF13" s="16" t="s">
        <v>12</v>
      </c>
      <c r="AG13" s="16" t="s">
        <v>11</v>
      </c>
      <c r="AH13" s="21">
        <f t="shared" si="0"/>
        <v>0.6333333333333333</v>
      </c>
    </row>
    <row r="14" spans="1:43" ht="15.75" customHeight="1" x14ac:dyDescent="0.25">
      <c r="A14" s="138" t="s">
        <v>18</v>
      </c>
      <c r="B14" s="139"/>
      <c r="C14" s="140"/>
      <c r="D14" s="73" t="s">
        <v>11</v>
      </c>
      <c r="E14" s="73" t="s">
        <v>12</v>
      </c>
      <c r="F14" s="15" t="s">
        <v>12</v>
      </c>
      <c r="G14" s="15" t="s">
        <v>12</v>
      </c>
      <c r="H14" s="15" t="s">
        <v>11</v>
      </c>
      <c r="I14" s="15" t="s">
        <v>11</v>
      </c>
      <c r="J14" s="15" t="s">
        <v>11</v>
      </c>
      <c r="K14" s="15" t="s">
        <v>12</v>
      </c>
      <c r="L14" s="15" t="s">
        <v>11</v>
      </c>
      <c r="M14" s="15" t="s">
        <v>12</v>
      </c>
      <c r="N14" s="73" t="s">
        <v>12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12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12</v>
      </c>
      <c r="AC14" s="73" t="s">
        <v>12</v>
      </c>
      <c r="AD14" s="73" t="s">
        <v>12</v>
      </c>
      <c r="AE14" s="73" t="s">
        <v>11</v>
      </c>
      <c r="AF14" s="73" t="s">
        <v>12</v>
      </c>
      <c r="AG14" s="15" t="s">
        <v>11</v>
      </c>
      <c r="AH14" s="17">
        <f t="shared" si="0"/>
        <v>0.6333333333333333</v>
      </c>
    </row>
    <row r="15" spans="1:43" ht="15.75" customHeight="1" x14ac:dyDescent="0.25">
      <c r="A15" s="147" t="s">
        <v>19</v>
      </c>
      <c r="B15" s="148"/>
      <c r="C15" s="149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12</v>
      </c>
      <c r="Y15" s="20" t="s">
        <v>12</v>
      </c>
      <c r="Z15" s="20" t="s">
        <v>12</v>
      </c>
      <c r="AA15" s="20" t="s">
        <v>12</v>
      </c>
      <c r="AB15" s="20" t="s">
        <v>11</v>
      </c>
      <c r="AC15" s="20" t="s">
        <v>12</v>
      </c>
      <c r="AD15" s="20" t="s">
        <v>12</v>
      </c>
      <c r="AE15" s="20" t="s">
        <v>11</v>
      </c>
      <c r="AF15" s="20" t="s">
        <v>11</v>
      </c>
      <c r="AG15" s="20" t="s">
        <v>11</v>
      </c>
      <c r="AH15" s="13">
        <f t="shared" si="0"/>
        <v>0.8</v>
      </c>
    </row>
    <row r="16" spans="1:43" ht="15.75" customHeight="1" x14ac:dyDescent="0.25">
      <c r="A16" s="150" t="s">
        <v>20</v>
      </c>
      <c r="B16" s="151"/>
      <c r="C16" s="152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12</v>
      </c>
      <c r="Y16" s="16" t="s">
        <v>12</v>
      </c>
      <c r="Z16" s="16" t="s">
        <v>12</v>
      </c>
      <c r="AA16" s="16" t="s">
        <v>12</v>
      </c>
      <c r="AB16" s="16" t="s">
        <v>11</v>
      </c>
      <c r="AC16" s="16" t="s">
        <v>12</v>
      </c>
      <c r="AD16" s="16" t="s">
        <v>12</v>
      </c>
      <c r="AE16" s="16" t="s">
        <v>11</v>
      </c>
      <c r="AF16" s="16" t="s">
        <v>11</v>
      </c>
      <c r="AG16" s="16" t="s">
        <v>11</v>
      </c>
      <c r="AH16" s="21">
        <f t="shared" si="0"/>
        <v>0.8</v>
      </c>
    </row>
    <row r="17" spans="1:34" ht="15.75" customHeight="1" x14ac:dyDescent="0.25">
      <c r="A17" s="138" t="s">
        <v>92</v>
      </c>
      <c r="B17" s="139"/>
      <c r="C17" s="14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12</v>
      </c>
      <c r="Y17" s="16" t="s">
        <v>12</v>
      </c>
      <c r="Z17" s="16" t="s">
        <v>12</v>
      </c>
      <c r="AA17" s="16" t="s">
        <v>12</v>
      </c>
      <c r="AB17" s="16" t="s">
        <v>11</v>
      </c>
      <c r="AC17" s="16" t="s">
        <v>12</v>
      </c>
      <c r="AD17" s="16" t="s">
        <v>12</v>
      </c>
      <c r="AE17" s="16" t="s">
        <v>11</v>
      </c>
      <c r="AF17" s="16" t="s">
        <v>11</v>
      </c>
      <c r="AG17" s="16" t="s">
        <v>11</v>
      </c>
      <c r="AH17" s="17">
        <f t="shared" si="0"/>
        <v>0.8</v>
      </c>
    </row>
    <row r="18" spans="1:34" ht="15.75" customHeight="1" x14ac:dyDescent="0.25">
      <c r="A18" s="147" t="s">
        <v>21</v>
      </c>
      <c r="B18" s="148"/>
      <c r="C18" s="149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22</v>
      </c>
      <c r="Y18" s="22" t="s">
        <v>12</v>
      </c>
      <c r="Z18" s="22" t="s">
        <v>12</v>
      </c>
      <c r="AA18" s="22" t="s">
        <v>12</v>
      </c>
      <c r="AB18" s="22" t="s">
        <v>22</v>
      </c>
      <c r="AC18" s="22" t="s">
        <v>22</v>
      </c>
      <c r="AD18" s="22" t="s">
        <v>22</v>
      </c>
      <c r="AE18" s="22" t="s">
        <v>11</v>
      </c>
      <c r="AF18" s="22" t="s">
        <v>11</v>
      </c>
      <c r="AG18" s="79" t="s">
        <v>11</v>
      </c>
      <c r="AH18" s="13">
        <f t="shared" si="0"/>
        <v>0.9</v>
      </c>
    </row>
    <row r="19" spans="1:34" ht="15.75" customHeight="1" x14ac:dyDescent="0.25">
      <c r="A19" s="150" t="s">
        <v>23</v>
      </c>
      <c r="B19" s="151"/>
      <c r="C19" s="152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80" t="s">
        <v>11</v>
      </c>
      <c r="N19" s="80" t="s">
        <v>11</v>
      </c>
      <c r="O19" s="80" t="s">
        <v>11</v>
      </c>
      <c r="P19" s="80" t="s">
        <v>11</v>
      </c>
      <c r="Q19" s="80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22</v>
      </c>
      <c r="Y19" s="23" t="s">
        <v>12</v>
      </c>
      <c r="Z19" s="23" t="s">
        <v>12</v>
      </c>
      <c r="AA19" s="23" t="s">
        <v>12</v>
      </c>
      <c r="AB19" s="23" t="s">
        <v>22</v>
      </c>
      <c r="AC19" s="23" t="s">
        <v>22</v>
      </c>
      <c r="AD19" s="23" t="s">
        <v>22</v>
      </c>
      <c r="AE19" s="23" t="s">
        <v>11</v>
      </c>
      <c r="AF19" s="23" t="s">
        <v>11</v>
      </c>
      <c r="AG19" s="16" t="s">
        <v>11</v>
      </c>
      <c r="AH19" s="21">
        <f t="shared" si="0"/>
        <v>0.9</v>
      </c>
    </row>
    <row r="20" spans="1:34" ht="15.75" customHeight="1" x14ac:dyDescent="0.25">
      <c r="A20" s="150" t="s">
        <v>24</v>
      </c>
      <c r="B20" s="151"/>
      <c r="C20" s="152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22</v>
      </c>
      <c r="Y20" s="23" t="s">
        <v>12</v>
      </c>
      <c r="Z20" s="23" t="s">
        <v>12</v>
      </c>
      <c r="AA20" s="23" t="s">
        <v>12</v>
      </c>
      <c r="AB20" s="23" t="s">
        <v>22</v>
      </c>
      <c r="AC20" s="23" t="s">
        <v>22</v>
      </c>
      <c r="AD20" s="23" t="s">
        <v>22</v>
      </c>
      <c r="AE20" s="23" t="s">
        <v>11</v>
      </c>
      <c r="AF20" s="23" t="s">
        <v>11</v>
      </c>
      <c r="AG20" s="16" t="s">
        <v>11</v>
      </c>
      <c r="AH20" s="21">
        <f t="shared" si="0"/>
        <v>0.9</v>
      </c>
    </row>
    <row r="21" spans="1:34" ht="15.75" customHeight="1" x14ac:dyDescent="0.25">
      <c r="A21" s="138" t="s">
        <v>25</v>
      </c>
      <c r="B21" s="139"/>
      <c r="C21" s="14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22</v>
      </c>
      <c r="Y21" s="14" t="s">
        <v>12</v>
      </c>
      <c r="Z21" s="14" t="s">
        <v>12</v>
      </c>
      <c r="AA21" s="14" t="s">
        <v>12</v>
      </c>
      <c r="AB21" s="14" t="s">
        <v>22</v>
      </c>
      <c r="AC21" s="14" t="s">
        <v>22</v>
      </c>
      <c r="AD21" s="14" t="s">
        <v>22</v>
      </c>
      <c r="AE21" s="14" t="s">
        <v>11</v>
      </c>
      <c r="AF21" s="14" t="s">
        <v>11</v>
      </c>
      <c r="AG21" s="73" t="s">
        <v>11</v>
      </c>
      <c r="AH21" s="17">
        <f t="shared" si="0"/>
        <v>0.9</v>
      </c>
    </row>
    <row r="22" spans="1:34" ht="15.75" customHeight="1" x14ac:dyDescent="0.25">
      <c r="A22" s="144" t="s">
        <v>26</v>
      </c>
      <c r="B22" s="145"/>
      <c r="C22" s="146"/>
      <c r="D22" s="81" t="s">
        <v>11</v>
      </c>
      <c r="E22" s="81" t="s">
        <v>12</v>
      </c>
      <c r="F22" s="81" t="s">
        <v>12</v>
      </c>
      <c r="G22" s="81" t="s">
        <v>12</v>
      </c>
      <c r="H22" s="81" t="s">
        <v>11</v>
      </c>
      <c r="I22" s="81" t="s">
        <v>11</v>
      </c>
      <c r="J22" s="81" t="s">
        <v>11</v>
      </c>
      <c r="K22" s="81" t="s">
        <v>11</v>
      </c>
      <c r="L22" s="81" t="s">
        <v>12</v>
      </c>
      <c r="M22" s="24" t="s">
        <v>12</v>
      </c>
      <c r="N22" s="24" t="s">
        <v>12</v>
      </c>
      <c r="O22" s="24" t="s">
        <v>22</v>
      </c>
      <c r="P22" s="24" t="s">
        <v>22</v>
      </c>
      <c r="Q22" s="24" t="s">
        <v>11</v>
      </c>
      <c r="R22" s="24" t="s">
        <v>11</v>
      </c>
      <c r="S22" s="24" t="s">
        <v>11</v>
      </c>
      <c r="T22" s="24" t="s">
        <v>22</v>
      </c>
      <c r="U22" s="24" t="s">
        <v>22</v>
      </c>
      <c r="V22" s="24" t="s">
        <v>22</v>
      </c>
      <c r="W22" s="24" t="s">
        <v>22</v>
      </c>
      <c r="X22" s="24" t="s">
        <v>12</v>
      </c>
      <c r="Y22" s="24" t="s">
        <v>12</v>
      </c>
      <c r="Z22" s="81" t="s">
        <v>12</v>
      </c>
      <c r="AA22" s="81" t="s">
        <v>12</v>
      </c>
      <c r="AB22" s="24" t="s">
        <v>12</v>
      </c>
      <c r="AC22" s="24" t="s">
        <v>12</v>
      </c>
      <c r="AD22" s="24" t="s">
        <v>12</v>
      </c>
      <c r="AE22" s="24" t="s">
        <v>11</v>
      </c>
      <c r="AF22" s="24" t="s">
        <v>11</v>
      </c>
      <c r="AG22" s="81" t="s">
        <v>22</v>
      </c>
      <c r="AH22" s="19">
        <f t="shared" si="0"/>
        <v>0.56666666666666665</v>
      </c>
    </row>
    <row r="23" spans="1:34" ht="15.75" customHeight="1" x14ac:dyDescent="0.25">
      <c r="A23" s="147" t="s">
        <v>27</v>
      </c>
      <c r="B23" s="148"/>
      <c r="C23" s="149"/>
      <c r="D23" s="22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12</v>
      </c>
      <c r="M23" s="79" t="s">
        <v>12</v>
      </c>
      <c r="N23" s="79" t="s">
        <v>12</v>
      </c>
      <c r="O23" s="79" t="s">
        <v>12</v>
      </c>
      <c r="P23" s="79" t="s">
        <v>12</v>
      </c>
      <c r="Q23" s="79" t="s">
        <v>11</v>
      </c>
      <c r="R23" s="79" t="s">
        <v>11</v>
      </c>
      <c r="S23" s="79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11</v>
      </c>
      <c r="Y23" s="79" t="s">
        <v>11</v>
      </c>
      <c r="Z23" s="22" t="s">
        <v>11</v>
      </c>
      <c r="AA23" s="22" t="s">
        <v>12</v>
      </c>
      <c r="AB23" s="79" t="s">
        <v>11</v>
      </c>
      <c r="AC23" s="79" t="s">
        <v>11</v>
      </c>
      <c r="AD23" s="79" t="s">
        <v>11</v>
      </c>
      <c r="AE23" s="79" t="s">
        <v>11</v>
      </c>
      <c r="AF23" s="79" t="s">
        <v>11</v>
      </c>
      <c r="AG23" s="20" t="s">
        <v>11</v>
      </c>
      <c r="AH23" s="13">
        <f t="shared" si="0"/>
        <v>0.8</v>
      </c>
    </row>
    <row r="24" spans="1:34" ht="15.75" customHeight="1" x14ac:dyDescent="0.25">
      <c r="A24" s="138" t="s">
        <v>28</v>
      </c>
      <c r="B24" s="139"/>
      <c r="C24" s="140"/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12</v>
      </c>
      <c r="M24" s="73" t="s">
        <v>12</v>
      </c>
      <c r="N24" s="73" t="s">
        <v>12</v>
      </c>
      <c r="O24" s="73" t="s">
        <v>12</v>
      </c>
      <c r="P24" s="73" t="s">
        <v>12</v>
      </c>
      <c r="Q24" s="73" t="s">
        <v>11</v>
      </c>
      <c r="R24" s="73" t="s">
        <v>11</v>
      </c>
      <c r="S24" s="73" t="s">
        <v>11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11</v>
      </c>
      <c r="Y24" s="73" t="s">
        <v>11</v>
      </c>
      <c r="Z24" s="14" t="s">
        <v>11</v>
      </c>
      <c r="AA24" s="14" t="s">
        <v>12</v>
      </c>
      <c r="AB24" s="73" t="s">
        <v>11</v>
      </c>
      <c r="AC24" s="73" t="s">
        <v>11</v>
      </c>
      <c r="AD24" s="73" t="s">
        <v>11</v>
      </c>
      <c r="AE24" s="73" t="s">
        <v>11</v>
      </c>
      <c r="AF24" s="73" t="s">
        <v>11</v>
      </c>
      <c r="AG24" s="15" t="s">
        <v>11</v>
      </c>
      <c r="AH24" s="17">
        <f t="shared" si="0"/>
        <v>0.8</v>
      </c>
    </row>
    <row r="25" spans="1:34" ht="15.75" customHeight="1" x14ac:dyDescent="0.25">
      <c r="A25" s="144" t="s">
        <v>29</v>
      </c>
      <c r="B25" s="145"/>
      <c r="C25" s="146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25" t="s">
        <v>11</v>
      </c>
      <c r="N25" s="25" t="s">
        <v>11</v>
      </c>
      <c r="O25" s="25" t="s">
        <v>11</v>
      </c>
      <c r="P25" s="25" t="s">
        <v>22</v>
      </c>
      <c r="Q25" s="25" t="s">
        <v>11</v>
      </c>
      <c r="R25" s="25" t="s">
        <v>11</v>
      </c>
      <c r="S25" s="25" t="s">
        <v>11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22</v>
      </c>
      <c r="Z25" s="81" t="s">
        <v>12</v>
      </c>
      <c r="AA25" s="81" t="s">
        <v>22</v>
      </c>
      <c r="AB25" s="26" t="s">
        <v>22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5" t="s">
        <v>11</v>
      </c>
      <c r="AH25" s="19">
        <f t="shared" si="0"/>
        <v>0.96666666666666667</v>
      </c>
    </row>
    <row r="26" spans="1:34" ht="15.75" customHeight="1" x14ac:dyDescent="0.25">
      <c r="A26" s="144" t="s">
        <v>30</v>
      </c>
      <c r="B26" s="145"/>
      <c r="C26" s="146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22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22</v>
      </c>
      <c r="Z26" s="81" t="s">
        <v>12</v>
      </c>
      <c r="AA26" s="81" t="s">
        <v>22</v>
      </c>
      <c r="AB26" s="81" t="s">
        <v>22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25" t="s">
        <v>11</v>
      </c>
      <c r="AH26" s="19">
        <f t="shared" si="0"/>
        <v>0.96666666666666667</v>
      </c>
    </row>
    <row r="27" spans="1:34" ht="15.75" customHeight="1" x14ac:dyDescent="0.25">
      <c r="A27" s="141" t="s">
        <v>31</v>
      </c>
      <c r="B27" s="142"/>
      <c r="C27" s="143"/>
      <c r="D27" s="72" t="s">
        <v>8</v>
      </c>
      <c r="E27" s="72" t="s">
        <v>8</v>
      </c>
      <c r="F27" s="72" t="s">
        <v>9</v>
      </c>
      <c r="G27" s="72" t="s">
        <v>9</v>
      </c>
      <c r="H27" s="72" t="s">
        <v>8</v>
      </c>
      <c r="I27" s="72" t="s">
        <v>8</v>
      </c>
      <c r="J27" s="72" t="s">
        <v>8</v>
      </c>
      <c r="K27" s="72" t="s">
        <v>8</v>
      </c>
      <c r="L27" s="72" t="s">
        <v>8</v>
      </c>
      <c r="M27" s="72" t="s">
        <v>9</v>
      </c>
      <c r="N27" s="72" t="s">
        <v>9</v>
      </c>
      <c r="O27" s="72" t="s">
        <v>8</v>
      </c>
      <c r="P27" s="72" t="s">
        <v>9</v>
      </c>
      <c r="Q27" s="72" t="s">
        <v>9</v>
      </c>
      <c r="R27" s="72" t="s">
        <v>8</v>
      </c>
      <c r="S27" s="72" t="s">
        <v>8</v>
      </c>
      <c r="T27" s="72" t="s">
        <v>8</v>
      </c>
      <c r="U27" s="72" t="s">
        <v>9</v>
      </c>
      <c r="V27" s="72" t="s">
        <v>9</v>
      </c>
      <c r="W27" s="72" t="s">
        <v>9</v>
      </c>
      <c r="X27" s="72" t="s">
        <v>22</v>
      </c>
      <c r="Y27" s="72" t="s">
        <v>22</v>
      </c>
      <c r="Z27" s="72" t="s">
        <v>22</v>
      </c>
      <c r="AA27" s="72" t="s">
        <v>9</v>
      </c>
      <c r="AB27" s="72" t="s">
        <v>9</v>
      </c>
      <c r="AC27" s="72" t="s">
        <v>9</v>
      </c>
      <c r="AD27" s="72" t="s">
        <v>9</v>
      </c>
      <c r="AE27" s="72" t="s">
        <v>8</v>
      </c>
      <c r="AF27" s="72" t="s">
        <v>8</v>
      </c>
      <c r="AG27" s="72" t="s">
        <v>9</v>
      </c>
      <c r="AH27" s="13">
        <f t="shared" si="0"/>
        <v>1</v>
      </c>
    </row>
    <row r="28" spans="1:34" ht="15.75" customHeight="1" x14ac:dyDescent="0.25">
      <c r="A28" s="156" t="s">
        <v>32</v>
      </c>
      <c r="B28" s="157"/>
      <c r="C28" s="158"/>
      <c r="D28" s="82">
        <v>3</v>
      </c>
      <c r="E28" s="82">
        <v>2</v>
      </c>
      <c r="F28" s="82">
        <v>2</v>
      </c>
      <c r="G28" s="82">
        <v>2</v>
      </c>
      <c r="H28" s="82">
        <v>3</v>
      </c>
      <c r="I28" s="82">
        <v>4</v>
      </c>
      <c r="J28" s="82">
        <v>3</v>
      </c>
      <c r="K28" s="131" t="s">
        <v>142</v>
      </c>
      <c r="L28" s="82">
        <v>3</v>
      </c>
      <c r="M28" s="82">
        <v>3</v>
      </c>
      <c r="N28" s="28">
        <v>3</v>
      </c>
      <c r="O28" s="28">
        <v>2</v>
      </c>
      <c r="P28" s="28">
        <v>2</v>
      </c>
      <c r="Q28" s="28">
        <v>3</v>
      </c>
      <c r="R28" s="28">
        <v>3.5</v>
      </c>
      <c r="S28" s="28">
        <v>3.5</v>
      </c>
      <c r="T28" s="28" t="s">
        <v>129</v>
      </c>
      <c r="U28" s="28">
        <v>2</v>
      </c>
      <c r="V28" s="28">
        <v>2</v>
      </c>
      <c r="W28" s="28">
        <v>2</v>
      </c>
      <c r="X28" s="28">
        <v>3</v>
      </c>
      <c r="Y28" s="28">
        <v>2</v>
      </c>
      <c r="Z28" s="28">
        <v>2</v>
      </c>
      <c r="AA28" s="28">
        <v>2</v>
      </c>
      <c r="AB28" s="28">
        <v>2</v>
      </c>
      <c r="AC28" s="28">
        <v>2</v>
      </c>
      <c r="AD28" s="28">
        <v>3</v>
      </c>
      <c r="AE28" s="28">
        <v>3</v>
      </c>
      <c r="AF28" s="28" t="s">
        <v>135</v>
      </c>
      <c r="AG28" s="82">
        <v>3</v>
      </c>
      <c r="AH28" s="17">
        <f t="shared" si="0"/>
        <v>1</v>
      </c>
    </row>
    <row r="29" spans="1:34" ht="15.75" customHeight="1" x14ac:dyDescent="0.25">
      <c r="A29" s="153" t="s">
        <v>99</v>
      </c>
      <c r="B29" s="154"/>
      <c r="C29" s="155"/>
      <c r="D29" s="29" t="s">
        <v>184</v>
      </c>
      <c r="E29" s="29" t="s">
        <v>185</v>
      </c>
      <c r="F29" s="29" t="s">
        <v>186</v>
      </c>
      <c r="G29" s="29" t="s">
        <v>187</v>
      </c>
      <c r="H29" s="29" t="s">
        <v>188</v>
      </c>
      <c r="I29" s="29">
        <v>5.22</v>
      </c>
      <c r="J29" s="29">
        <v>2.5</v>
      </c>
      <c r="K29" s="29">
        <v>8.6999999999999993</v>
      </c>
      <c r="L29" s="83" t="s">
        <v>189</v>
      </c>
      <c r="M29" s="83">
        <v>0.9</v>
      </c>
      <c r="N29" s="83">
        <v>9.6999999999999993</v>
      </c>
      <c r="O29" s="83">
        <v>6.7</v>
      </c>
      <c r="P29" s="83">
        <v>7.2</v>
      </c>
      <c r="Q29" s="83">
        <v>1.9</v>
      </c>
      <c r="R29" s="83">
        <v>6.6</v>
      </c>
      <c r="S29" s="83" t="s">
        <v>190</v>
      </c>
      <c r="T29" s="83" t="s">
        <v>191</v>
      </c>
      <c r="U29" s="83" t="s">
        <v>192</v>
      </c>
      <c r="V29" s="83">
        <v>0.2</v>
      </c>
      <c r="W29" s="83">
        <v>0</v>
      </c>
      <c r="X29" s="83">
        <v>0</v>
      </c>
      <c r="Y29" s="83">
        <v>0</v>
      </c>
      <c r="Z29" s="29">
        <v>0</v>
      </c>
      <c r="AA29" s="29">
        <v>0</v>
      </c>
      <c r="AB29" s="29">
        <v>0</v>
      </c>
      <c r="AC29" s="83">
        <v>0</v>
      </c>
      <c r="AD29" s="83">
        <v>0</v>
      </c>
      <c r="AE29" s="83">
        <v>0</v>
      </c>
      <c r="AF29" s="83">
        <v>22.9</v>
      </c>
      <c r="AG29" s="29">
        <v>12.1</v>
      </c>
      <c r="AH29" s="19">
        <f t="shared" si="0"/>
        <v>0.7</v>
      </c>
    </row>
    <row r="30" spans="1:34" ht="15.75" customHeight="1" x14ac:dyDescent="0.25">
      <c r="A30" s="165" t="s">
        <v>33</v>
      </c>
      <c r="B30" s="166"/>
      <c r="C30" s="167"/>
      <c r="D30" s="84" t="s">
        <v>8</v>
      </c>
      <c r="E30" s="84" t="s">
        <v>8</v>
      </c>
      <c r="F30" s="84" t="s">
        <v>9</v>
      </c>
      <c r="G30" s="84" t="s">
        <v>9</v>
      </c>
      <c r="H30" s="84" t="s">
        <v>8</v>
      </c>
      <c r="I30" s="84" t="s">
        <v>8</v>
      </c>
      <c r="J30" s="84" t="s">
        <v>8</v>
      </c>
      <c r="K30" s="84" t="s">
        <v>8</v>
      </c>
      <c r="L30" s="84" t="s">
        <v>8</v>
      </c>
      <c r="M30" s="84" t="s">
        <v>9</v>
      </c>
      <c r="N30" s="84" t="s">
        <v>9</v>
      </c>
      <c r="O30" s="84" t="s">
        <v>8</v>
      </c>
      <c r="P30" s="84" t="s">
        <v>9</v>
      </c>
      <c r="Q30" s="84" t="s">
        <v>9</v>
      </c>
      <c r="R30" s="84" t="s">
        <v>8</v>
      </c>
      <c r="S30" s="84" t="s">
        <v>8</v>
      </c>
      <c r="T30" s="84" t="s">
        <v>8</v>
      </c>
      <c r="U30" s="84" t="s">
        <v>9</v>
      </c>
      <c r="V30" s="84" t="s">
        <v>9</v>
      </c>
      <c r="W30" s="84" t="s">
        <v>9</v>
      </c>
      <c r="X30" s="84" t="s">
        <v>22</v>
      </c>
      <c r="Y30" s="84" t="s">
        <v>22</v>
      </c>
      <c r="Z30" s="84" t="s">
        <v>22</v>
      </c>
      <c r="AA30" s="84" t="s">
        <v>9</v>
      </c>
      <c r="AB30" s="84" t="s">
        <v>9</v>
      </c>
      <c r="AC30" s="84" t="s">
        <v>9</v>
      </c>
      <c r="AD30" s="84" t="s">
        <v>9</v>
      </c>
      <c r="AE30" s="84" t="s">
        <v>8</v>
      </c>
      <c r="AF30" s="84" t="s">
        <v>8</v>
      </c>
      <c r="AG30" s="84" t="s">
        <v>9</v>
      </c>
      <c r="AH30" s="19">
        <f t="shared" si="0"/>
        <v>1</v>
      </c>
    </row>
    <row r="31" spans="1:34" ht="15.75" customHeight="1" x14ac:dyDescent="0.25">
      <c r="A31" s="141" t="s">
        <v>34</v>
      </c>
      <c r="B31" s="142"/>
      <c r="C31" s="143"/>
      <c r="D31" s="72" t="s">
        <v>8</v>
      </c>
      <c r="E31" s="72" t="s">
        <v>8</v>
      </c>
      <c r="F31" s="72" t="s">
        <v>9</v>
      </c>
      <c r="G31" s="72" t="s">
        <v>9</v>
      </c>
      <c r="H31" s="72" t="s">
        <v>8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9</v>
      </c>
      <c r="N31" s="72" t="s">
        <v>9</v>
      </c>
      <c r="O31" s="72" t="s">
        <v>9</v>
      </c>
      <c r="P31" s="72" t="s">
        <v>9</v>
      </c>
      <c r="Q31" s="72" t="s">
        <v>9</v>
      </c>
      <c r="R31" s="72" t="s">
        <v>8</v>
      </c>
      <c r="S31" s="72" t="s">
        <v>8</v>
      </c>
      <c r="T31" s="72" t="s">
        <v>8</v>
      </c>
      <c r="U31" s="72" t="s">
        <v>9</v>
      </c>
      <c r="V31" s="72" t="s">
        <v>9</v>
      </c>
      <c r="W31" s="72" t="s">
        <v>9</v>
      </c>
      <c r="X31" s="72" t="s">
        <v>22</v>
      </c>
      <c r="Y31" s="72" t="s">
        <v>22</v>
      </c>
      <c r="Z31" s="72" t="s">
        <v>22</v>
      </c>
      <c r="AA31" s="72" t="s">
        <v>9</v>
      </c>
      <c r="AB31" s="72" t="s">
        <v>9</v>
      </c>
      <c r="AC31" s="72" t="s">
        <v>9</v>
      </c>
      <c r="AD31" s="72" t="s">
        <v>9</v>
      </c>
      <c r="AE31" s="72" t="s">
        <v>8</v>
      </c>
      <c r="AF31" s="72" t="s">
        <v>8</v>
      </c>
      <c r="AG31" s="72" t="s">
        <v>9</v>
      </c>
      <c r="AH31" s="13">
        <f t="shared" si="0"/>
        <v>1</v>
      </c>
    </row>
    <row r="32" spans="1:34" ht="15.75" customHeight="1" x14ac:dyDescent="0.25">
      <c r="A32" s="168" t="s">
        <v>35</v>
      </c>
      <c r="B32" s="169"/>
      <c r="C32" s="170"/>
      <c r="D32" s="85" t="s">
        <v>8</v>
      </c>
      <c r="E32" s="85" t="s">
        <v>8</v>
      </c>
      <c r="F32" s="85" t="s">
        <v>9</v>
      </c>
      <c r="G32" s="85" t="s">
        <v>9</v>
      </c>
      <c r="H32" s="85" t="s">
        <v>8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9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8</v>
      </c>
      <c r="S32" s="85" t="s">
        <v>8</v>
      </c>
      <c r="T32" s="85" t="s">
        <v>8</v>
      </c>
      <c r="U32" s="85" t="s">
        <v>9</v>
      </c>
      <c r="V32" s="85" t="s">
        <v>9</v>
      </c>
      <c r="W32" s="85" t="s">
        <v>9</v>
      </c>
      <c r="X32" s="85" t="s">
        <v>22</v>
      </c>
      <c r="Y32" s="85" t="s">
        <v>22</v>
      </c>
      <c r="Z32" s="85" t="s">
        <v>22</v>
      </c>
      <c r="AA32" s="85" t="s">
        <v>9</v>
      </c>
      <c r="AB32" s="85" t="s">
        <v>9</v>
      </c>
      <c r="AC32" s="85" t="s">
        <v>9</v>
      </c>
      <c r="AD32" s="85" t="s">
        <v>9</v>
      </c>
      <c r="AE32" s="85" t="s">
        <v>8</v>
      </c>
      <c r="AF32" s="85" t="s">
        <v>8</v>
      </c>
      <c r="AG32" s="85" t="s">
        <v>9</v>
      </c>
      <c r="AH32" s="17">
        <f t="shared" si="0"/>
        <v>1</v>
      </c>
    </row>
    <row r="33" spans="1:43" ht="15.75" customHeight="1" x14ac:dyDescent="0.25">
      <c r="A33" s="144" t="s">
        <v>36</v>
      </c>
      <c r="B33" s="145"/>
      <c r="C33" s="146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24" t="s">
        <v>11</v>
      </c>
      <c r="O33" s="24" t="s">
        <v>11</v>
      </c>
      <c r="P33" s="24" t="s">
        <v>11</v>
      </c>
      <c r="Q33" s="24" t="s">
        <v>11</v>
      </c>
      <c r="R33" s="24" t="s">
        <v>11</v>
      </c>
      <c r="S33" s="24" t="s">
        <v>11</v>
      </c>
      <c r="T33" s="24" t="s">
        <v>11</v>
      </c>
      <c r="U33" s="24" t="s">
        <v>11</v>
      </c>
      <c r="V33" s="24" t="s">
        <v>11</v>
      </c>
      <c r="W33" s="24" t="s">
        <v>11</v>
      </c>
      <c r="X33" s="24" t="s">
        <v>22</v>
      </c>
      <c r="Y33" s="24" t="s">
        <v>22</v>
      </c>
      <c r="Z33" s="25" t="s">
        <v>22</v>
      </c>
      <c r="AA33" s="25" t="s">
        <v>11</v>
      </c>
      <c r="AB33" s="25" t="s">
        <v>11</v>
      </c>
      <c r="AC33" s="24" t="s">
        <v>11</v>
      </c>
      <c r="AD33" s="24" t="s">
        <v>11</v>
      </c>
      <c r="AE33" s="24" t="s">
        <v>11</v>
      </c>
      <c r="AF33" s="24" t="s">
        <v>11</v>
      </c>
      <c r="AG33" s="81" t="s">
        <v>11</v>
      </c>
      <c r="AH33" s="19">
        <f t="shared" si="0"/>
        <v>1</v>
      </c>
    </row>
    <row r="34" spans="1:43" ht="15.75" customHeight="1" x14ac:dyDescent="0.25">
      <c r="A34" s="144" t="s">
        <v>97</v>
      </c>
      <c r="B34" s="145"/>
      <c r="C34" s="146"/>
      <c r="D34" s="25" t="s">
        <v>11</v>
      </c>
      <c r="E34" s="25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25" t="s">
        <v>11</v>
      </c>
      <c r="K34" s="25" t="s">
        <v>11</v>
      </c>
      <c r="L34" s="81" t="s">
        <v>11</v>
      </c>
      <c r="M34" s="81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22</v>
      </c>
      <c r="Y34" s="24" t="s">
        <v>12</v>
      </c>
      <c r="Z34" s="25" t="s">
        <v>22</v>
      </c>
      <c r="AA34" s="25" t="s">
        <v>11</v>
      </c>
      <c r="AB34" s="25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5" t="s">
        <v>11</v>
      </c>
      <c r="AH34" s="19">
        <f t="shared" si="0"/>
        <v>0.96666666666666667</v>
      </c>
    </row>
    <row r="35" spans="1:43" ht="15.75" customHeight="1" thickBot="1" x14ac:dyDescent="0.3">
      <c r="A35" s="171" t="s">
        <v>98</v>
      </c>
      <c r="B35" s="172"/>
      <c r="C35" s="173"/>
      <c r="D35" s="97" t="s">
        <v>11</v>
      </c>
      <c r="E35" s="97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7" t="s">
        <v>11</v>
      </c>
      <c r="K35" s="97" t="s">
        <v>11</v>
      </c>
      <c r="L35" s="95" t="s">
        <v>11</v>
      </c>
      <c r="M35" s="95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11</v>
      </c>
      <c r="V35" s="96" t="s">
        <v>11</v>
      </c>
      <c r="W35" s="96" t="s">
        <v>11</v>
      </c>
      <c r="X35" s="96" t="s">
        <v>22</v>
      </c>
      <c r="Y35" s="96" t="s">
        <v>12</v>
      </c>
      <c r="Z35" s="97" t="s">
        <v>22</v>
      </c>
      <c r="AA35" s="97" t="s">
        <v>11</v>
      </c>
      <c r="AB35" s="97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7" t="s">
        <v>11</v>
      </c>
      <c r="AH35" s="98">
        <f>IF(COUNTA(D35:AG35)&gt;0,(COUNTA(D35:AG35)-COUNTIF(D35:AG35,"NB")-COUNTIF(D35:AG35,"DN")-COUNTIF(D35:AG35,"An")-COUNTIF(D35:AG35,"NB^")-COUNTIF(D35:AG35,0))/COUNTA(D35:AG35),"")</f>
        <v>0.96666666666666667</v>
      </c>
    </row>
    <row r="36" spans="1:43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31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35"/>
    </row>
    <row r="38" spans="1:43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5"/>
    </row>
    <row r="39" spans="1:43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</row>
    <row r="40" spans="1:43" ht="15.75" customHeight="1" thickBot="1" x14ac:dyDescent="0.3">
      <c r="D40" s="39"/>
    </row>
    <row r="41" spans="1:43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</row>
    <row r="42" spans="1:43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</row>
    <row r="50" spans="1:34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/>
    </row>
    <row r="51" spans="1:34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COUNTIF(D38:AG38,"AB")</f>
        <v>0</v>
      </c>
      <c r="AH51"/>
    </row>
    <row r="52" spans="1:34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30</v>
      </c>
      <c r="AH52"/>
    </row>
    <row r="53" spans="1:34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37:C37"/>
    <mergeCell ref="A41:AG41"/>
    <mergeCell ref="A30:C30"/>
    <mergeCell ref="A31:C31"/>
    <mergeCell ref="A32:C32"/>
    <mergeCell ref="A33:C33"/>
    <mergeCell ref="A34:C34"/>
    <mergeCell ref="A36:C36"/>
    <mergeCell ref="A35:C35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D6:D8 D18:D35 F28:N35 D15:K17 F6:K14 F18:K27 M6:N27 O6:AG35">
    <cfRule type="containsText" dxfId="835" priority="15" operator="containsText" text="NB">
      <formula>NOT(ISERROR(SEARCH("NB",D6)))</formula>
    </cfRule>
    <cfRule type="containsText" dxfId="834" priority="16" operator="containsText" text="M">
      <formula>NOT(ISERROR(SEARCH("M",D6)))</formula>
    </cfRule>
    <cfRule type="containsText" dxfId="833" priority="17" operator="containsText" text="B">
      <formula>NOT(ISERROR(SEARCH("B",D6)))</formula>
    </cfRule>
  </conditionalFormatting>
  <conditionalFormatting sqref="D29 F29:AG29">
    <cfRule type="cellIs" dxfId="832" priority="14" operator="equal">
      <formula>0</formula>
    </cfRule>
  </conditionalFormatting>
  <conditionalFormatting sqref="D9:E14">
    <cfRule type="containsText" dxfId="831" priority="11" operator="containsText" text="NB">
      <formula>NOT(ISERROR(SEARCH("NB",D9)))</formula>
    </cfRule>
    <cfRule type="containsText" dxfId="830" priority="12" operator="containsText" text="M">
      <formula>NOT(ISERROR(SEARCH("M",D9)))</formula>
    </cfRule>
    <cfRule type="containsText" dxfId="829" priority="13" operator="containsText" text="B">
      <formula>NOT(ISERROR(SEARCH("B",D9)))</formula>
    </cfRule>
  </conditionalFormatting>
  <conditionalFormatting sqref="E6:E8 E18:E35">
    <cfRule type="containsText" dxfId="828" priority="8" operator="containsText" text="NB">
      <formula>NOT(ISERROR(SEARCH("NB",E6)))</formula>
    </cfRule>
    <cfRule type="containsText" dxfId="827" priority="9" operator="containsText" text="M">
      <formula>NOT(ISERROR(SEARCH("M",E6)))</formula>
    </cfRule>
    <cfRule type="containsText" dxfId="826" priority="10" operator="containsText" text="B">
      <formula>NOT(ISERROR(SEARCH("B",E6)))</formula>
    </cfRule>
  </conditionalFormatting>
  <conditionalFormatting sqref="E29">
    <cfRule type="cellIs" dxfId="825" priority="7" operator="equal">
      <formula>0</formula>
    </cfRule>
  </conditionalFormatting>
  <conditionalFormatting sqref="L6:L27">
    <cfRule type="containsText" dxfId="824" priority="1" operator="containsText" text="NB">
      <formula>NOT(ISERROR(SEARCH("NB",L6)))</formula>
    </cfRule>
    <cfRule type="containsText" dxfId="823" priority="2" operator="containsText" text="M">
      <formula>NOT(ISERROR(SEARCH("M",L6)))</formula>
    </cfRule>
    <cfRule type="containsText" dxfId="822" priority="3" operator="containsText" text="B">
      <formula>NOT(ISERROR(SEARCH("B",L6)))</formula>
    </cfRule>
  </conditionalFormatting>
  <pageMargins left="0.75" right="0.75" top="1" bottom="1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107</v>
      </c>
    </row>
    <row r="4" spans="1:44" s="5" customFormat="1" ht="15.75" customHeight="1" thickBot="1" x14ac:dyDescent="0.3">
      <c r="G4" s="5" t="s">
        <v>4</v>
      </c>
      <c r="H4" s="5" t="s">
        <v>3</v>
      </c>
      <c r="I4" s="6"/>
      <c r="N4" s="5" t="s">
        <v>3</v>
      </c>
      <c r="O4" s="5" t="s">
        <v>3</v>
      </c>
      <c r="P4" s="6"/>
      <c r="U4" s="5" t="s">
        <v>3</v>
      </c>
      <c r="V4" s="5" t="s">
        <v>3</v>
      </c>
      <c r="AB4" s="5" t="s">
        <v>3</v>
      </c>
      <c r="AC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8</v>
      </c>
      <c r="E6" s="72" t="s">
        <v>8</v>
      </c>
      <c r="F6" s="72" t="s">
        <v>8</v>
      </c>
      <c r="G6" s="72" t="s">
        <v>9</v>
      </c>
      <c r="H6" s="72" t="s">
        <v>9</v>
      </c>
      <c r="I6" s="72" t="s">
        <v>9</v>
      </c>
      <c r="J6" s="72" t="s">
        <v>9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22</v>
      </c>
      <c r="P6" s="72" t="s">
        <v>22</v>
      </c>
      <c r="Q6" s="72" t="s">
        <v>9</v>
      </c>
      <c r="R6" s="72" t="s">
        <v>9</v>
      </c>
      <c r="S6" s="72" t="s">
        <v>9</v>
      </c>
      <c r="T6" s="72" t="s">
        <v>9</v>
      </c>
      <c r="U6" s="72" t="s">
        <v>9</v>
      </c>
      <c r="V6" s="72" t="s">
        <v>9</v>
      </c>
      <c r="W6" s="72" t="s">
        <v>9</v>
      </c>
      <c r="X6" s="72" t="s">
        <v>9</v>
      </c>
      <c r="Y6" s="72" t="s">
        <v>8</v>
      </c>
      <c r="Z6" s="72" t="s">
        <v>8</v>
      </c>
      <c r="AA6" s="72" t="s">
        <v>9</v>
      </c>
      <c r="AB6" s="72" t="s">
        <v>9</v>
      </c>
      <c r="AC6" s="72" t="s">
        <v>9</v>
      </c>
      <c r="AD6" s="72" t="s">
        <v>9</v>
      </c>
      <c r="AE6" s="72" t="s">
        <v>9</v>
      </c>
      <c r="AF6" s="72" t="s">
        <v>9</v>
      </c>
      <c r="AG6" s="72" t="s">
        <v>9</v>
      </c>
      <c r="AH6" s="72" t="s">
        <v>12</v>
      </c>
      <c r="AI6" s="13">
        <f>IF(COUNTA(D6:AH6)&gt;0,(COUNTA(D6:AH6)-COUNTIF(D6:AH6,"NB")-COUNTIF(D6:AH6,"DN")-COUNTIF(D6:AH6,"An")-COUNTIF(D6:AH6,"NB^")-COUNTIF(D6:AH6,0))/COUNTA(D6:AH6),"")</f>
        <v>0.967741935483871</v>
      </c>
    </row>
    <row r="7" spans="1:44" ht="15.75" customHeight="1" x14ac:dyDescent="0.25">
      <c r="A7" s="138" t="s">
        <v>10</v>
      </c>
      <c r="B7" s="139"/>
      <c r="C7" s="14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22</v>
      </c>
      <c r="O7" s="73" t="s">
        <v>22</v>
      </c>
      <c r="P7" s="73" t="s">
        <v>22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73" t="s">
        <v>12</v>
      </c>
      <c r="AI7" s="17">
        <f t="shared" ref="AI7:AI34" si="0">IF(COUNTA(D7:AH7)&gt;0,(COUNTA(D7:AH7)-COUNTIF(D7:AH7,"NB")-COUNTIF(D7:AH7,"DN")-COUNTIF(D7:AH7,"An")-COUNTIF(D7:AH7,"NB^")-COUNTIF(D7:AH7,0))/COUNTA(D7:AH7),"")</f>
        <v>0.967741935483871</v>
      </c>
    </row>
    <row r="8" spans="1:44" ht="15.75" customHeight="1" x14ac:dyDescent="0.25">
      <c r="A8" s="144" t="s">
        <v>94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 t="shared" si="0"/>
        <v>0</v>
      </c>
    </row>
    <row r="9" spans="1:44" ht="15.75" customHeight="1" x14ac:dyDescent="0.25">
      <c r="A9" s="147" t="s">
        <v>13</v>
      </c>
      <c r="B9" s="148"/>
      <c r="C9" s="149"/>
      <c r="D9" s="124" t="s">
        <v>11</v>
      </c>
      <c r="E9" s="124" t="s">
        <v>11</v>
      </c>
      <c r="F9" s="124" t="s">
        <v>11</v>
      </c>
      <c r="G9" s="124" t="s">
        <v>11</v>
      </c>
      <c r="H9" s="124" t="s">
        <v>11</v>
      </c>
      <c r="I9" s="124" t="s">
        <v>11</v>
      </c>
      <c r="J9" s="124" t="s">
        <v>11</v>
      </c>
      <c r="K9" s="124" t="s">
        <v>11</v>
      </c>
      <c r="L9" s="124" t="s">
        <v>12</v>
      </c>
      <c r="M9" s="124" t="s">
        <v>12</v>
      </c>
      <c r="N9" s="124" t="s">
        <v>12</v>
      </c>
      <c r="O9" s="124" t="s">
        <v>12</v>
      </c>
      <c r="P9" s="124" t="s">
        <v>12</v>
      </c>
      <c r="Q9" s="124" t="s">
        <v>12</v>
      </c>
      <c r="R9" s="124" t="s">
        <v>12</v>
      </c>
      <c r="S9" s="124" t="s">
        <v>12</v>
      </c>
      <c r="T9" s="124" t="s">
        <v>12</v>
      </c>
      <c r="U9" s="124" t="s">
        <v>12</v>
      </c>
      <c r="V9" s="124" t="s">
        <v>12</v>
      </c>
      <c r="W9" s="124" t="s">
        <v>12</v>
      </c>
      <c r="X9" s="124" t="s">
        <v>12</v>
      </c>
      <c r="Y9" s="124" t="s">
        <v>12</v>
      </c>
      <c r="Z9" s="124" t="s">
        <v>12</v>
      </c>
      <c r="AA9" s="124" t="s">
        <v>11</v>
      </c>
      <c r="AB9" s="124" t="s">
        <v>11</v>
      </c>
      <c r="AC9" s="124" t="s">
        <v>11</v>
      </c>
      <c r="AD9" s="124" t="s">
        <v>11</v>
      </c>
      <c r="AE9" s="124" t="s">
        <v>11</v>
      </c>
      <c r="AF9" s="124" t="s">
        <v>11</v>
      </c>
      <c r="AG9" s="124" t="s">
        <v>11</v>
      </c>
      <c r="AH9" s="124" t="s">
        <v>11</v>
      </c>
      <c r="AI9" s="13">
        <f t="shared" si="0"/>
        <v>0.5161290322580645</v>
      </c>
    </row>
    <row r="10" spans="1:44" ht="15.75" customHeight="1" x14ac:dyDescent="0.25">
      <c r="A10" s="150" t="s">
        <v>14</v>
      </c>
      <c r="B10" s="151"/>
      <c r="C10" s="152"/>
      <c r="D10" s="123" t="s">
        <v>11</v>
      </c>
      <c r="E10" s="123" t="s">
        <v>11</v>
      </c>
      <c r="F10" s="123" t="s">
        <v>11</v>
      </c>
      <c r="G10" s="123" t="s">
        <v>11</v>
      </c>
      <c r="H10" s="123" t="s">
        <v>11</v>
      </c>
      <c r="I10" s="123" t="s">
        <v>11</v>
      </c>
      <c r="J10" s="123" t="s">
        <v>11</v>
      </c>
      <c r="K10" s="123" t="s">
        <v>11</v>
      </c>
      <c r="L10" s="123" t="s">
        <v>12</v>
      </c>
      <c r="M10" s="123" t="s">
        <v>12</v>
      </c>
      <c r="N10" s="123" t="s">
        <v>12</v>
      </c>
      <c r="O10" s="123" t="s">
        <v>12</v>
      </c>
      <c r="P10" s="123" t="s">
        <v>12</v>
      </c>
      <c r="Q10" s="123" t="s">
        <v>12</v>
      </c>
      <c r="R10" s="123" t="s">
        <v>12</v>
      </c>
      <c r="S10" s="123" t="s">
        <v>12</v>
      </c>
      <c r="T10" s="123" t="s">
        <v>12</v>
      </c>
      <c r="U10" s="123" t="s">
        <v>12</v>
      </c>
      <c r="V10" s="123" t="s">
        <v>12</v>
      </c>
      <c r="W10" s="123" t="s">
        <v>12</v>
      </c>
      <c r="X10" s="123" t="s">
        <v>12</v>
      </c>
      <c r="Y10" s="123" t="s">
        <v>12</v>
      </c>
      <c r="Z10" s="123" t="s">
        <v>12</v>
      </c>
      <c r="AA10" s="123" t="s">
        <v>11</v>
      </c>
      <c r="AB10" s="123" t="s">
        <v>11</v>
      </c>
      <c r="AC10" s="123" t="s">
        <v>11</v>
      </c>
      <c r="AD10" s="123" t="s">
        <v>11</v>
      </c>
      <c r="AE10" s="123" t="s">
        <v>11</v>
      </c>
      <c r="AF10" s="123" t="s">
        <v>11</v>
      </c>
      <c r="AG10" s="123" t="s">
        <v>11</v>
      </c>
      <c r="AH10" s="123" t="s">
        <v>11</v>
      </c>
      <c r="AI10" s="21">
        <f t="shared" si="0"/>
        <v>0.5161290322580645</v>
      </c>
    </row>
    <row r="11" spans="1:44" ht="15.75" customHeight="1" x14ac:dyDescent="0.25">
      <c r="A11" s="150" t="s">
        <v>15</v>
      </c>
      <c r="B11" s="151"/>
      <c r="C11" s="152"/>
      <c r="D11" s="123" t="s">
        <v>11</v>
      </c>
      <c r="E11" s="123" t="s">
        <v>11</v>
      </c>
      <c r="F11" s="123" t="s">
        <v>11</v>
      </c>
      <c r="G11" s="123" t="s">
        <v>11</v>
      </c>
      <c r="H11" s="123" t="s">
        <v>11</v>
      </c>
      <c r="I11" s="123" t="s">
        <v>11</v>
      </c>
      <c r="J11" s="123" t="s">
        <v>11</v>
      </c>
      <c r="K11" s="123" t="s">
        <v>11</v>
      </c>
      <c r="L11" s="123" t="s">
        <v>12</v>
      </c>
      <c r="M11" s="123" t="s">
        <v>12</v>
      </c>
      <c r="N11" s="123" t="s">
        <v>12</v>
      </c>
      <c r="O11" s="123" t="s">
        <v>12</v>
      </c>
      <c r="P11" s="123" t="s">
        <v>12</v>
      </c>
      <c r="Q11" s="123" t="s">
        <v>12</v>
      </c>
      <c r="R11" s="123" t="s">
        <v>12</v>
      </c>
      <c r="S11" s="123" t="s">
        <v>12</v>
      </c>
      <c r="T11" s="123" t="s">
        <v>12</v>
      </c>
      <c r="U11" s="123" t="s">
        <v>12</v>
      </c>
      <c r="V11" s="123" t="s">
        <v>12</v>
      </c>
      <c r="W11" s="123" t="s">
        <v>12</v>
      </c>
      <c r="X11" s="123" t="s">
        <v>12</v>
      </c>
      <c r="Y11" s="123" t="s">
        <v>12</v>
      </c>
      <c r="Z11" s="123" t="s">
        <v>12</v>
      </c>
      <c r="AA11" s="123" t="s">
        <v>11</v>
      </c>
      <c r="AB11" s="123" t="s">
        <v>11</v>
      </c>
      <c r="AC11" s="123" t="s">
        <v>11</v>
      </c>
      <c r="AD11" s="123" t="s">
        <v>11</v>
      </c>
      <c r="AE11" s="123" t="s">
        <v>11</v>
      </c>
      <c r="AF11" s="123" t="s">
        <v>11</v>
      </c>
      <c r="AG11" s="123" t="s">
        <v>11</v>
      </c>
      <c r="AH11" s="123" t="s">
        <v>11</v>
      </c>
      <c r="AI11" s="21">
        <f t="shared" si="0"/>
        <v>0.5161290322580645</v>
      </c>
    </row>
    <row r="12" spans="1:44" ht="15.75" customHeight="1" x14ac:dyDescent="0.25">
      <c r="A12" s="150" t="s">
        <v>16</v>
      </c>
      <c r="B12" s="151"/>
      <c r="C12" s="152"/>
      <c r="D12" s="123" t="s">
        <v>11</v>
      </c>
      <c r="E12" s="123" t="s">
        <v>11</v>
      </c>
      <c r="F12" s="123" t="s">
        <v>11</v>
      </c>
      <c r="G12" s="123" t="s">
        <v>11</v>
      </c>
      <c r="H12" s="123" t="s">
        <v>11</v>
      </c>
      <c r="I12" s="123" t="s">
        <v>11</v>
      </c>
      <c r="J12" s="123" t="s">
        <v>11</v>
      </c>
      <c r="K12" s="123" t="s">
        <v>11</v>
      </c>
      <c r="L12" s="123" t="s">
        <v>12</v>
      </c>
      <c r="M12" s="123" t="s">
        <v>12</v>
      </c>
      <c r="N12" s="123" t="s">
        <v>12</v>
      </c>
      <c r="O12" s="123" t="s">
        <v>12</v>
      </c>
      <c r="P12" s="123" t="s">
        <v>12</v>
      </c>
      <c r="Q12" s="123" t="s">
        <v>12</v>
      </c>
      <c r="R12" s="123" t="s">
        <v>12</v>
      </c>
      <c r="S12" s="123" t="s">
        <v>12</v>
      </c>
      <c r="T12" s="123" t="s">
        <v>12</v>
      </c>
      <c r="U12" s="123" t="s">
        <v>12</v>
      </c>
      <c r="V12" s="123" t="s">
        <v>12</v>
      </c>
      <c r="W12" s="123" t="s">
        <v>12</v>
      </c>
      <c r="X12" s="123" t="s">
        <v>12</v>
      </c>
      <c r="Y12" s="123" t="s">
        <v>12</v>
      </c>
      <c r="Z12" s="123" t="s">
        <v>12</v>
      </c>
      <c r="AA12" s="123" t="s">
        <v>11</v>
      </c>
      <c r="AB12" s="123" t="s">
        <v>11</v>
      </c>
      <c r="AC12" s="123" t="s">
        <v>11</v>
      </c>
      <c r="AD12" s="123" t="s">
        <v>11</v>
      </c>
      <c r="AE12" s="123" t="s">
        <v>11</v>
      </c>
      <c r="AF12" s="123" t="s">
        <v>11</v>
      </c>
      <c r="AG12" s="123" t="s">
        <v>11</v>
      </c>
      <c r="AH12" s="123" t="s">
        <v>11</v>
      </c>
      <c r="AI12" s="21">
        <f t="shared" si="0"/>
        <v>0.5161290322580645</v>
      </c>
    </row>
    <row r="13" spans="1:44" ht="15.75" customHeight="1" x14ac:dyDescent="0.25">
      <c r="A13" s="150" t="s">
        <v>17</v>
      </c>
      <c r="B13" s="151"/>
      <c r="C13" s="152"/>
      <c r="D13" s="123" t="s">
        <v>11</v>
      </c>
      <c r="E13" s="123" t="s">
        <v>11</v>
      </c>
      <c r="F13" s="123" t="s">
        <v>11</v>
      </c>
      <c r="G13" s="123" t="s">
        <v>11</v>
      </c>
      <c r="H13" s="123" t="s">
        <v>11</v>
      </c>
      <c r="I13" s="123" t="s">
        <v>11</v>
      </c>
      <c r="J13" s="123" t="s">
        <v>11</v>
      </c>
      <c r="K13" s="123" t="s">
        <v>12</v>
      </c>
      <c r="L13" s="123" t="s">
        <v>12</v>
      </c>
      <c r="M13" s="123" t="s">
        <v>12</v>
      </c>
      <c r="N13" s="123" t="s">
        <v>12</v>
      </c>
      <c r="O13" s="123" t="s">
        <v>12</v>
      </c>
      <c r="P13" s="123" t="s">
        <v>12</v>
      </c>
      <c r="Q13" s="123" t="s">
        <v>12</v>
      </c>
      <c r="R13" s="123" t="s">
        <v>12</v>
      </c>
      <c r="S13" s="123" t="s">
        <v>12</v>
      </c>
      <c r="T13" s="123" t="s">
        <v>12</v>
      </c>
      <c r="U13" s="123" t="s">
        <v>12</v>
      </c>
      <c r="V13" s="123" t="s">
        <v>12</v>
      </c>
      <c r="W13" s="123" t="s">
        <v>12</v>
      </c>
      <c r="X13" s="123" t="s">
        <v>12</v>
      </c>
      <c r="Y13" s="123" t="s">
        <v>12</v>
      </c>
      <c r="Z13" s="123" t="s">
        <v>12</v>
      </c>
      <c r="AA13" s="123" t="s">
        <v>12</v>
      </c>
      <c r="AB13" s="123" t="s">
        <v>12</v>
      </c>
      <c r="AC13" s="123" t="s">
        <v>12</v>
      </c>
      <c r="AD13" s="123" t="s">
        <v>12</v>
      </c>
      <c r="AE13" s="123" t="s">
        <v>12</v>
      </c>
      <c r="AF13" s="123" t="s">
        <v>11</v>
      </c>
      <c r="AG13" s="123" t="s">
        <v>11</v>
      </c>
      <c r="AH13" s="123" t="s">
        <v>11</v>
      </c>
      <c r="AI13" s="21">
        <f t="shared" si="0"/>
        <v>0.32258064516129031</v>
      </c>
    </row>
    <row r="14" spans="1:44" ht="15.75" customHeight="1" x14ac:dyDescent="0.25">
      <c r="A14" s="138" t="s">
        <v>18</v>
      </c>
      <c r="B14" s="139"/>
      <c r="C14" s="140"/>
      <c r="D14" s="125" t="s">
        <v>11</v>
      </c>
      <c r="E14" s="125" t="s">
        <v>11</v>
      </c>
      <c r="F14" s="125" t="s">
        <v>11</v>
      </c>
      <c r="G14" s="123" t="s">
        <v>11</v>
      </c>
      <c r="H14" s="123" t="s">
        <v>11</v>
      </c>
      <c r="I14" s="123" t="s">
        <v>11</v>
      </c>
      <c r="J14" s="123" t="s">
        <v>11</v>
      </c>
      <c r="K14" s="123" t="s">
        <v>12</v>
      </c>
      <c r="L14" s="123" t="s">
        <v>12</v>
      </c>
      <c r="M14" s="123" t="s">
        <v>12</v>
      </c>
      <c r="N14" s="123" t="s">
        <v>12</v>
      </c>
      <c r="O14" s="123" t="s">
        <v>12</v>
      </c>
      <c r="P14" s="123" t="s">
        <v>12</v>
      </c>
      <c r="Q14" s="123" t="s">
        <v>12</v>
      </c>
      <c r="R14" s="123" t="s">
        <v>12</v>
      </c>
      <c r="S14" s="123" t="s">
        <v>12</v>
      </c>
      <c r="T14" s="123" t="s">
        <v>12</v>
      </c>
      <c r="U14" s="123" t="s">
        <v>12</v>
      </c>
      <c r="V14" s="123" t="s">
        <v>12</v>
      </c>
      <c r="W14" s="123" t="s">
        <v>12</v>
      </c>
      <c r="X14" s="123" t="s">
        <v>12</v>
      </c>
      <c r="Y14" s="123" t="s">
        <v>12</v>
      </c>
      <c r="Z14" s="123" t="s">
        <v>12</v>
      </c>
      <c r="AA14" s="123" t="s">
        <v>12</v>
      </c>
      <c r="AB14" s="123" t="s">
        <v>12</v>
      </c>
      <c r="AC14" s="123" t="s">
        <v>12</v>
      </c>
      <c r="AD14" s="123" t="s">
        <v>12</v>
      </c>
      <c r="AE14" s="123" t="s">
        <v>12</v>
      </c>
      <c r="AF14" s="123" t="s">
        <v>11</v>
      </c>
      <c r="AG14" s="123" t="s">
        <v>11</v>
      </c>
      <c r="AH14" s="123" t="s">
        <v>11</v>
      </c>
      <c r="AI14" s="17">
        <f t="shared" si="0"/>
        <v>0.32258064516129031</v>
      </c>
    </row>
    <row r="15" spans="1:44" ht="15.75" customHeight="1" x14ac:dyDescent="0.25">
      <c r="A15" s="147" t="s">
        <v>19</v>
      </c>
      <c r="B15" s="148"/>
      <c r="C15" s="149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79" t="s">
        <v>11</v>
      </c>
      <c r="J15" s="79" t="s">
        <v>11</v>
      </c>
      <c r="K15" s="79" t="s">
        <v>11</v>
      </c>
      <c r="L15" s="79" t="s">
        <v>11</v>
      </c>
      <c r="M15" s="79" t="s">
        <v>11</v>
      </c>
      <c r="N15" s="79" t="s">
        <v>12</v>
      </c>
      <c r="O15" s="79" t="s">
        <v>12</v>
      </c>
      <c r="P15" s="79" t="s">
        <v>12</v>
      </c>
      <c r="Q15" s="79" t="s">
        <v>11</v>
      </c>
      <c r="R15" s="79" t="s">
        <v>11</v>
      </c>
      <c r="S15" s="79" t="s">
        <v>12</v>
      </c>
      <c r="T15" s="79" t="s">
        <v>11</v>
      </c>
      <c r="U15" s="79" t="s">
        <v>11</v>
      </c>
      <c r="V15" s="79" t="s">
        <v>11</v>
      </c>
      <c r="W15" s="79" t="s">
        <v>11</v>
      </c>
      <c r="X15" s="79" t="s">
        <v>11</v>
      </c>
      <c r="Y15" s="79" t="s">
        <v>11</v>
      </c>
      <c r="Z15" s="79" t="s">
        <v>11</v>
      </c>
      <c r="AA15" s="79" t="s">
        <v>11</v>
      </c>
      <c r="AB15" s="79" t="s">
        <v>11</v>
      </c>
      <c r="AC15" s="79" t="s">
        <v>11</v>
      </c>
      <c r="AD15" s="79" t="s">
        <v>11</v>
      </c>
      <c r="AE15" s="79" t="s">
        <v>11</v>
      </c>
      <c r="AF15" s="79" t="s">
        <v>11</v>
      </c>
      <c r="AG15" s="79" t="s">
        <v>11</v>
      </c>
      <c r="AH15" s="79" t="s">
        <v>11</v>
      </c>
      <c r="AI15" s="13">
        <f t="shared" si="0"/>
        <v>0.87096774193548387</v>
      </c>
    </row>
    <row r="16" spans="1:44" ht="15.75" customHeight="1" x14ac:dyDescent="0.25">
      <c r="A16" s="150" t="s">
        <v>20</v>
      </c>
      <c r="B16" s="151"/>
      <c r="C16" s="152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80" t="s">
        <v>11</v>
      </c>
      <c r="J16" s="80" t="s">
        <v>11</v>
      </c>
      <c r="K16" s="80" t="s">
        <v>11</v>
      </c>
      <c r="L16" s="80" t="s">
        <v>11</v>
      </c>
      <c r="M16" s="80" t="s">
        <v>11</v>
      </c>
      <c r="N16" s="80" t="s">
        <v>12</v>
      </c>
      <c r="O16" s="80" t="s">
        <v>12</v>
      </c>
      <c r="P16" s="80" t="s">
        <v>12</v>
      </c>
      <c r="Q16" s="80" t="s">
        <v>11</v>
      </c>
      <c r="R16" s="80" t="s">
        <v>11</v>
      </c>
      <c r="S16" s="80" t="s">
        <v>12</v>
      </c>
      <c r="T16" s="80" t="s">
        <v>11</v>
      </c>
      <c r="U16" s="80" t="s">
        <v>11</v>
      </c>
      <c r="V16" s="80" t="s">
        <v>11</v>
      </c>
      <c r="W16" s="80" t="s">
        <v>11</v>
      </c>
      <c r="X16" s="80" t="s">
        <v>11</v>
      </c>
      <c r="Y16" s="80" t="s">
        <v>11</v>
      </c>
      <c r="Z16" s="80" t="s">
        <v>11</v>
      </c>
      <c r="AA16" s="80" t="s">
        <v>11</v>
      </c>
      <c r="AB16" s="80" t="s">
        <v>11</v>
      </c>
      <c r="AC16" s="80" t="s">
        <v>11</v>
      </c>
      <c r="AD16" s="80" t="s">
        <v>11</v>
      </c>
      <c r="AE16" s="80" t="s">
        <v>11</v>
      </c>
      <c r="AF16" s="80" t="s">
        <v>11</v>
      </c>
      <c r="AG16" s="80" t="s">
        <v>11</v>
      </c>
      <c r="AH16" s="80" t="s">
        <v>11</v>
      </c>
      <c r="AI16" s="21">
        <f t="shared" si="0"/>
        <v>0.87096774193548387</v>
      </c>
    </row>
    <row r="17" spans="1:35" ht="15.75" customHeight="1" x14ac:dyDescent="0.25">
      <c r="A17" s="138" t="s">
        <v>92</v>
      </c>
      <c r="B17" s="139"/>
      <c r="C17" s="140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80" t="s">
        <v>11</v>
      </c>
      <c r="J17" s="80" t="s">
        <v>11</v>
      </c>
      <c r="K17" s="80" t="s">
        <v>11</v>
      </c>
      <c r="L17" s="80" t="s">
        <v>11</v>
      </c>
      <c r="M17" s="80" t="s">
        <v>11</v>
      </c>
      <c r="N17" s="80" t="s">
        <v>12</v>
      </c>
      <c r="O17" s="80" t="s">
        <v>12</v>
      </c>
      <c r="P17" s="80" t="s">
        <v>12</v>
      </c>
      <c r="Q17" s="80" t="s">
        <v>11</v>
      </c>
      <c r="R17" s="80" t="s">
        <v>11</v>
      </c>
      <c r="S17" s="80" t="s">
        <v>12</v>
      </c>
      <c r="T17" s="80" t="s">
        <v>11</v>
      </c>
      <c r="U17" s="80" t="s">
        <v>11</v>
      </c>
      <c r="V17" s="80" t="s">
        <v>11</v>
      </c>
      <c r="W17" s="80" t="s">
        <v>11</v>
      </c>
      <c r="X17" s="80" t="s">
        <v>11</v>
      </c>
      <c r="Y17" s="80" t="s">
        <v>11</v>
      </c>
      <c r="Z17" s="80" t="s">
        <v>11</v>
      </c>
      <c r="AA17" s="80" t="s">
        <v>11</v>
      </c>
      <c r="AB17" s="80" t="s">
        <v>11</v>
      </c>
      <c r="AC17" s="80" t="s">
        <v>11</v>
      </c>
      <c r="AD17" s="80" t="s">
        <v>11</v>
      </c>
      <c r="AE17" s="80" t="s">
        <v>11</v>
      </c>
      <c r="AF17" s="80" t="s">
        <v>11</v>
      </c>
      <c r="AG17" s="80" t="s">
        <v>11</v>
      </c>
      <c r="AH17" s="80" t="s">
        <v>11</v>
      </c>
      <c r="AI17" s="17">
        <f t="shared" si="0"/>
        <v>0.87096774193548387</v>
      </c>
    </row>
    <row r="18" spans="1:35" ht="15.75" customHeight="1" x14ac:dyDescent="0.25">
      <c r="A18" s="147" t="s">
        <v>21</v>
      </c>
      <c r="B18" s="148"/>
      <c r="C18" s="149"/>
      <c r="D18" s="124" t="s">
        <v>11</v>
      </c>
      <c r="E18" s="124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22</v>
      </c>
      <c r="N18" s="79" t="s">
        <v>22</v>
      </c>
      <c r="O18" s="79" t="s">
        <v>22</v>
      </c>
      <c r="P18" s="79" t="s">
        <v>22</v>
      </c>
      <c r="Q18" s="79" t="s">
        <v>11</v>
      </c>
      <c r="R18" s="79" t="s">
        <v>11</v>
      </c>
      <c r="S18" s="79" t="s">
        <v>22</v>
      </c>
      <c r="T18" s="79" t="s">
        <v>11</v>
      </c>
      <c r="U18" s="79" t="s">
        <v>11</v>
      </c>
      <c r="V18" s="79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22" t="s">
        <v>11</v>
      </c>
      <c r="AI18" s="13">
        <f t="shared" si="0"/>
        <v>1</v>
      </c>
    </row>
    <row r="19" spans="1:35" ht="15.75" customHeight="1" x14ac:dyDescent="0.25">
      <c r="A19" s="150" t="s">
        <v>23</v>
      </c>
      <c r="B19" s="151"/>
      <c r="C19" s="152"/>
      <c r="D19" s="80" t="s">
        <v>11</v>
      </c>
      <c r="E19" s="80" t="s">
        <v>11</v>
      </c>
      <c r="F19" s="80" t="s">
        <v>11</v>
      </c>
      <c r="G19" s="80" t="s">
        <v>11</v>
      </c>
      <c r="H19" s="80" t="s">
        <v>11</v>
      </c>
      <c r="I19" s="80" t="s">
        <v>11</v>
      </c>
      <c r="J19" s="80" t="s">
        <v>11</v>
      </c>
      <c r="K19" s="80" t="s">
        <v>11</v>
      </c>
      <c r="L19" s="80" t="s">
        <v>11</v>
      </c>
      <c r="M19" s="80" t="s">
        <v>11</v>
      </c>
      <c r="N19" s="80" t="s">
        <v>22</v>
      </c>
      <c r="O19" s="80" t="s">
        <v>22</v>
      </c>
      <c r="P19" s="80" t="s">
        <v>22</v>
      </c>
      <c r="Q19" s="80" t="s">
        <v>11</v>
      </c>
      <c r="R19" s="80" t="s">
        <v>11</v>
      </c>
      <c r="S19" s="80" t="s">
        <v>22</v>
      </c>
      <c r="T19" s="80" t="s">
        <v>11</v>
      </c>
      <c r="U19" s="80" t="s">
        <v>11</v>
      </c>
      <c r="V19" s="80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3" t="s">
        <v>11</v>
      </c>
      <c r="AI19" s="21">
        <f t="shared" si="0"/>
        <v>1</v>
      </c>
    </row>
    <row r="20" spans="1:35" ht="15.75" customHeight="1" x14ac:dyDescent="0.25">
      <c r="A20" s="150" t="s">
        <v>24</v>
      </c>
      <c r="B20" s="151"/>
      <c r="C20" s="152"/>
      <c r="D20" s="80" t="s">
        <v>11</v>
      </c>
      <c r="E20" s="80" t="s">
        <v>11</v>
      </c>
      <c r="F20" s="80" t="s">
        <v>11</v>
      </c>
      <c r="G20" s="80" t="s">
        <v>11</v>
      </c>
      <c r="H20" s="80" t="s">
        <v>11</v>
      </c>
      <c r="I20" s="80" t="s">
        <v>11</v>
      </c>
      <c r="J20" s="80" t="s">
        <v>11</v>
      </c>
      <c r="K20" s="80" t="s">
        <v>11</v>
      </c>
      <c r="L20" s="80" t="s">
        <v>11</v>
      </c>
      <c r="M20" s="80" t="s">
        <v>11</v>
      </c>
      <c r="N20" s="80" t="s">
        <v>22</v>
      </c>
      <c r="O20" s="80" t="s">
        <v>22</v>
      </c>
      <c r="P20" s="80" t="s">
        <v>22</v>
      </c>
      <c r="Q20" s="80" t="s">
        <v>11</v>
      </c>
      <c r="R20" s="80" t="s">
        <v>11</v>
      </c>
      <c r="S20" s="80" t="s">
        <v>22</v>
      </c>
      <c r="T20" s="80" t="s">
        <v>11</v>
      </c>
      <c r="U20" s="80" t="s">
        <v>11</v>
      </c>
      <c r="V20" s="80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3" t="s">
        <v>11</v>
      </c>
      <c r="AI20" s="21">
        <f t="shared" si="0"/>
        <v>1</v>
      </c>
    </row>
    <row r="21" spans="1:35" ht="15.75" customHeight="1" x14ac:dyDescent="0.25">
      <c r="A21" s="138" t="s">
        <v>25</v>
      </c>
      <c r="B21" s="139"/>
      <c r="C21" s="14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22</v>
      </c>
      <c r="O21" s="73" t="s">
        <v>22</v>
      </c>
      <c r="P21" s="73" t="s">
        <v>22</v>
      </c>
      <c r="Q21" s="73" t="s">
        <v>11</v>
      </c>
      <c r="R21" s="73" t="s">
        <v>11</v>
      </c>
      <c r="S21" s="73" t="s">
        <v>22</v>
      </c>
      <c r="T21" s="73" t="s">
        <v>11</v>
      </c>
      <c r="U21" s="73" t="s">
        <v>11</v>
      </c>
      <c r="V21" s="73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4" t="s">
        <v>11</v>
      </c>
      <c r="AI21" s="17">
        <f t="shared" si="0"/>
        <v>1</v>
      </c>
    </row>
    <row r="22" spans="1:35" ht="15.75" customHeight="1" x14ac:dyDescent="0.25">
      <c r="A22" s="144" t="s">
        <v>26</v>
      </c>
      <c r="B22" s="145"/>
      <c r="C22" s="146"/>
      <c r="D22" s="81" t="s">
        <v>22</v>
      </c>
      <c r="E22" s="81" t="s">
        <v>22</v>
      </c>
      <c r="F22" s="81" t="s">
        <v>12</v>
      </c>
      <c r="G22" s="81" t="s">
        <v>12</v>
      </c>
      <c r="H22" s="81" t="s">
        <v>12</v>
      </c>
      <c r="I22" s="81" t="s">
        <v>12</v>
      </c>
      <c r="J22" s="81" t="s">
        <v>12</v>
      </c>
      <c r="K22" s="81" t="s">
        <v>12</v>
      </c>
      <c r="L22" s="81" t="s">
        <v>12</v>
      </c>
      <c r="M22" s="81" t="s">
        <v>12</v>
      </c>
      <c r="N22" s="81" t="s">
        <v>12</v>
      </c>
      <c r="O22" s="81" t="s">
        <v>12</v>
      </c>
      <c r="P22" s="81" t="s">
        <v>12</v>
      </c>
      <c r="Q22" s="81" t="s">
        <v>12</v>
      </c>
      <c r="R22" s="81" t="s">
        <v>12</v>
      </c>
      <c r="S22" s="81" t="s">
        <v>12</v>
      </c>
      <c r="T22" s="24" t="s">
        <v>12</v>
      </c>
      <c r="U22" s="24" t="s">
        <v>12</v>
      </c>
      <c r="V22" s="24" t="s">
        <v>12</v>
      </c>
      <c r="W22" s="24" t="s">
        <v>12</v>
      </c>
      <c r="X22" s="24" t="s">
        <v>12</v>
      </c>
      <c r="Y22" s="24" t="s">
        <v>12</v>
      </c>
      <c r="Z22" s="24" t="s">
        <v>22</v>
      </c>
      <c r="AA22" s="24" t="s">
        <v>22</v>
      </c>
      <c r="AB22" s="24" t="s">
        <v>12</v>
      </c>
      <c r="AC22" s="81" t="s">
        <v>12</v>
      </c>
      <c r="AD22" s="81" t="s">
        <v>12</v>
      </c>
      <c r="AE22" s="81" t="s">
        <v>12</v>
      </c>
      <c r="AF22" s="81" t="s">
        <v>12</v>
      </c>
      <c r="AG22" s="81" t="s">
        <v>12</v>
      </c>
      <c r="AH22" s="81" t="s">
        <v>12</v>
      </c>
      <c r="AI22" s="19">
        <f t="shared" si="0"/>
        <v>0.12903225806451613</v>
      </c>
    </row>
    <row r="23" spans="1:35" ht="15.75" customHeight="1" x14ac:dyDescent="0.25">
      <c r="A23" s="147" t="s">
        <v>27</v>
      </c>
      <c r="B23" s="148"/>
      <c r="C23" s="149"/>
      <c r="D23" s="124" t="s">
        <v>11</v>
      </c>
      <c r="E23" s="124" t="s">
        <v>11</v>
      </c>
      <c r="F23" s="124" t="s">
        <v>11</v>
      </c>
      <c r="G23" s="124" t="s">
        <v>11</v>
      </c>
      <c r="H23" s="124" t="s">
        <v>11</v>
      </c>
      <c r="I23" s="124" t="s">
        <v>11</v>
      </c>
      <c r="J23" s="124" t="s">
        <v>11</v>
      </c>
      <c r="K23" s="124" t="s">
        <v>11</v>
      </c>
      <c r="L23" s="124" t="s">
        <v>11</v>
      </c>
      <c r="M23" s="124" t="s">
        <v>12</v>
      </c>
      <c r="N23" s="124" t="s">
        <v>12</v>
      </c>
      <c r="O23" s="124" t="s">
        <v>12</v>
      </c>
      <c r="P23" s="124" t="s">
        <v>12</v>
      </c>
      <c r="Q23" s="79" t="s">
        <v>12</v>
      </c>
      <c r="R23" s="79" t="s">
        <v>12</v>
      </c>
      <c r="S23" s="79" t="s">
        <v>12</v>
      </c>
      <c r="T23" s="22" t="s">
        <v>12</v>
      </c>
      <c r="U23" s="22" t="s">
        <v>12</v>
      </c>
      <c r="V23" s="22" t="s">
        <v>12</v>
      </c>
      <c r="W23" s="22" t="s">
        <v>12</v>
      </c>
      <c r="X23" s="22" t="s">
        <v>11</v>
      </c>
      <c r="Y23" s="22" t="s">
        <v>11</v>
      </c>
      <c r="Z23" s="22" t="s">
        <v>11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22" t="s">
        <v>12</v>
      </c>
      <c r="AG23" s="22" t="s">
        <v>12</v>
      </c>
      <c r="AH23" s="22" t="s">
        <v>12</v>
      </c>
      <c r="AI23" s="13">
        <f t="shared" si="0"/>
        <v>0.54838709677419351</v>
      </c>
    </row>
    <row r="24" spans="1:35" ht="15.75" customHeight="1" x14ac:dyDescent="0.25">
      <c r="A24" s="138" t="s">
        <v>28</v>
      </c>
      <c r="B24" s="139"/>
      <c r="C24" s="140"/>
      <c r="D24" s="125" t="s">
        <v>11</v>
      </c>
      <c r="E24" s="125" t="s">
        <v>11</v>
      </c>
      <c r="F24" s="125" t="s">
        <v>11</v>
      </c>
      <c r="G24" s="125" t="s">
        <v>11</v>
      </c>
      <c r="H24" s="125" t="s">
        <v>11</v>
      </c>
      <c r="I24" s="125" t="s">
        <v>11</v>
      </c>
      <c r="J24" s="125" t="s">
        <v>11</v>
      </c>
      <c r="K24" s="125" t="s">
        <v>11</v>
      </c>
      <c r="L24" s="125" t="s">
        <v>11</v>
      </c>
      <c r="M24" s="125" t="s">
        <v>12</v>
      </c>
      <c r="N24" s="125" t="s">
        <v>12</v>
      </c>
      <c r="O24" s="125" t="s">
        <v>12</v>
      </c>
      <c r="P24" s="125" t="s">
        <v>12</v>
      </c>
      <c r="Q24" s="73" t="s">
        <v>12</v>
      </c>
      <c r="R24" s="73" t="s">
        <v>12</v>
      </c>
      <c r="S24" s="73" t="s">
        <v>12</v>
      </c>
      <c r="T24" s="14" t="s">
        <v>12</v>
      </c>
      <c r="U24" s="14" t="s">
        <v>12</v>
      </c>
      <c r="V24" s="14" t="s">
        <v>12</v>
      </c>
      <c r="W24" s="14" t="s">
        <v>12</v>
      </c>
      <c r="X24" s="14" t="s">
        <v>11</v>
      </c>
      <c r="Y24" s="14" t="s">
        <v>11</v>
      </c>
      <c r="Z24" s="14" t="s">
        <v>11</v>
      </c>
      <c r="AA24" s="14" t="s">
        <v>11</v>
      </c>
      <c r="AB24" s="14" t="s">
        <v>11</v>
      </c>
      <c r="AC24" s="14" t="s">
        <v>11</v>
      </c>
      <c r="AD24" s="14" t="s">
        <v>11</v>
      </c>
      <c r="AE24" s="14" t="s">
        <v>11</v>
      </c>
      <c r="AF24" s="14" t="s">
        <v>12</v>
      </c>
      <c r="AG24" s="14" t="s">
        <v>12</v>
      </c>
      <c r="AH24" s="14" t="s">
        <v>12</v>
      </c>
      <c r="AI24" s="17">
        <f t="shared" si="0"/>
        <v>0.54838709677419351</v>
      </c>
    </row>
    <row r="25" spans="1:35" ht="15.75" customHeight="1" x14ac:dyDescent="0.25">
      <c r="A25" s="144" t="s">
        <v>29</v>
      </c>
      <c r="B25" s="145"/>
      <c r="C25" s="146"/>
      <c r="D25" s="101" t="s">
        <v>11</v>
      </c>
      <c r="E25" s="101" t="s">
        <v>11</v>
      </c>
      <c r="F25" s="101" t="s">
        <v>11</v>
      </c>
      <c r="G25" s="101" t="s">
        <v>11</v>
      </c>
      <c r="H25" s="101" t="s">
        <v>11</v>
      </c>
      <c r="I25" s="81" t="s">
        <v>11</v>
      </c>
      <c r="J25" s="81" t="s">
        <v>22</v>
      </c>
      <c r="K25" s="81" t="s">
        <v>22</v>
      </c>
      <c r="L25" s="81" t="s">
        <v>22</v>
      </c>
      <c r="M25" s="81" t="s">
        <v>22</v>
      </c>
      <c r="N25" s="81" t="s">
        <v>22</v>
      </c>
      <c r="O25" s="81" t="s">
        <v>22</v>
      </c>
      <c r="P25" s="81" t="s">
        <v>22</v>
      </c>
      <c r="Q25" s="81" t="s">
        <v>11</v>
      </c>
      <c r="R25" s="81" t="s">
        <v>11</v>
      </c>
      <c r="S25" s="81" t="s">
        <v>11</v>
      </c>
      <c r="T25" s="101" t="s">
        <v>11</v>
      </c>
      <c r="U25" s="101" t="s">
        <v>11</v>
      </c>
      <c r="V25" s="101" t="s">
        <v>11</v>
      </c>
      <c r="W25" s="101" t="s">
        <v>11</v>
      </c>
      <c r="X25" s="101" t="s">
        <v>11</v>
      </c>
      <c r="Y25" s="101" t="s">
        <v>11</v>
      </c>
      <c r="Z25" s="101" t="s">
        <v>11</v>
      </c>
      <c r="AA25" s="101" t="s">
        <v>11</v>
      </c>
      <c r="AB25" s="101" t="s">
        <v>11</v>
      </c>
      <c r="AC25" s="101" t="s">
        <v>11</v>
      </c>
      <c r="AD25" s="101" t="s">
        <v>11</v>
      </c>
      <c r="AE25" s="101" t="s">
        <v>11</v>
      </c>
      <c r="AF25" s="101" t="s">
        <v>11</v>
      </c>
      <c r="AG25" s="101" t="s">
        <v>11</v>
      </c>
      <c r="AH25" s="101" t="s">
        <v>11</v>
      </c>
      <c r="AI25" s="19">
        <f t="shared" si="0"/>
        <v>1</v>
      </c>
    </row>
    <row r="26" spans="1:35" ht="15.75" customHeight="1" x14ac:dyDescent="0.25">
      <c r="A26" s="144" t="s">
        <v>30</v>
      </c>
      <c r="B26" s="145"/>
      <c r="C26" s="146"/>
      <c r="D26" s="101" t="s">
        <v>11</v>
      </c>
      <c r="E26" s="101" t="s">
        <v>11</v>
      </c>
      <c r="F26" s="101" t="s">
        <v>11</v>
      </c>
      <c r="G26" s="101" t="s">
        <v>11</v>
      </c>
      <c r="H26" s="101" t="s">
        <v>11</v>
      </c>
      <c r="I26" s="81" t="s">
        <v>11</v>
      </c>
      <c r="J26" s="81" t="s">
        <v>22</v>
      </c>
      <c r="K26" s="81" t="s">
        <v>22</v>
      </c>
      <c r="L26" s="81" t="s">
        <v>22</v>
      </c>
      <c r="M26" s="81" t="s">
        <v>22</v>
      </c>
      <c r="N26" s="81" t="s">
        <v>22</v>
      </c>
      <c r="O26" s="81" t="s">
        <v>22</v>
      </c>
      <c r="P26" s="81" t="s">
        <v>22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41" t="s">
        <v>31</v>
      </c>
      <c r="B27" s="142"/>
      <c r="C27" s="143"/>
      <c r="D27" s="72" t="s">
        <v>8</v>
      </c>
      <c r="E27" s="72" t="s">
        <v>8</v>
      </c>
      <c r="F27" s="72" t="s">
        <v>9</v>
      </c>
      <c r="G27" s="72" t="s">
        <v>9</v>
      </c>
      <c r="H27" s="72" t="s">
        <v>9</v>
      </c>
      <c r="I27" s="72" t="s">
        <v>9</v>
      </c>
      <c r="J27" s="72" t="s">
        <v>9</v>
      </c>
      <c r="K27" s="72" t="s">
        <v>9</v>
      </c>
      <c r="L27" s="72" t="s">
        <v>9</v>
      </c>
      <c r="M27" s="72" t="s">
        <v>9</v>
      </c>
      <c r="N27" s="72" t="s">
        <v>22</v>
      </c>
      <c r="O27" s="72" t="s">
        <v>22</v>
      </c>
      <c r="P27" s="72" t="s">
        <v>22</v>
      </c>
      <c r="Q27" s="72" t="s">
        <v>9</v>
      </c>
      <c r="R27" s="72" t="s">
        <v>9</v>
      </c>
      <c r="S27" s="72" t="s">
        <v>22</v>
      </c>
      <c r="T27" s="27" t="s">
        <v>9</v>
      </c>
      <c r="U27" s="27" t="s">
        <v>9</v>
      </c>
      <c r="V27" s="27" t="s">
        <v>9</v>
      </c>
      <c r="W27" s="27" t="s">
        <v>9</v>
      </c>
      <c r="X27" s="27" t="s">
        <v>9</v>
      </c>
      <c r="Y27" s="27" t="s">
        <v>9</v>
      </c>
      <c r="Z27" s="27" t="s">
        <v>9</v>
      </c>
      <c r="AA27" s="27" t="s">
        <v>9</v>
      </c>
      <c r="AB27" s="27" t="s">
        <v>9</v>
      </c>
      <c r="AC27" s="72" t="s">
        <v>9</v>
      </c>
      <c r="AD27" s="72" t="s">
        <v>9</v>
      </c>
      <c r="AE27" s="72" t="s">
        <v>9</v>
      </c>
      <c r="AF27" s="72" t="s">
        <v>9</v>
      </c>
      <c r="AG27" s="72" t="s">
        <v>9</v>
      </c>
      <c r="AH27" s="72" t="s">
        <v>9</v>
      </c>
      <c r="AI27" s="13">
        <f t="shared" si="0"/>
        <v>1</v>
      </c>
    </row>
    <row r="28" spans="1:35" ht="15.75" customHeight="1" x14ac:dyDescent="0.25">
      <c r="A28" s="156" t="s">
        <v>32</v>
      </c>
      <c r="B28" s="157"/>
      <c r="C28" s="158"/>
      <c r="D28" s="82">
        <v>3</v>
      </c>
      <c r="E28" s="82">
        <v>3</v>
      </c>
      <c r="F28" s="82">
        <v>3</v>
      </c>
      <c r="G28" s="82">
        <v>3</v>
      </c>
      <c r="H28" s="82">
        <v>2</v>
      </c>
      <c r="I28" s="82">
        <v>3</v>
      </c>
      <c r="J28" s="82">
        <v>3</v>
      </c>
      <c r="K28" s="82">
        <v>2.5</v>
      </c>
      <c r="L28" s="82">
        <v>3</v>
      </c>
      <c r="M28" s="82">
        <v>3</v>
      </c>
      <c r="N28" s="82">
        <v>3</v>
      </c>
      <c r="O28" s="82" t="s">
        <v>124</v>
      </c>
      <c r="P28" s="82">
        <v>2</v>
      </c>
      <c r="Q28" s="82">
        <v>2</v>
      </c>
      <c r="R28" s="82">
        <v>2</v>
      </c>
      <c r="S28" s="82">
        <v>2</v>
      </c>
      <c r="T28" s="75">
        <v>2</v>
      </c>
      <c r="U28" s="75">
        <v>2</v>
      </c>
      <c r="V28" s="75">
        <v>2</v>
      </c>
      <c r="W28" s="75">
        <v>2.5</v>
      </c>
      <c r="X28" s="75">
        <v>2.5</v>
      </c>
      <c r="Y28" s="75">
        <v>3</v>
      </c>
      <c r="Z28" s="75">
        <v>3</v>
      </c>
      <c r="AA28" s="75">
        <v>3</v>
      </c>
      <c r="AB28" s="75">
        <v>2</v>
      </c>
      <c r="AC28" s="28">
        <v>2</v>
      </c>
      <c r="AD28" s="28">
        <v>2</v>
      </c>
      <c r="AE28" s="28">
        <v>2</v>
      </c>
      <c r="AF28" s="28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53" t="s">
        <v>99</v>
      </c>
      <c r="B29" s="154"/>
      <c r="C29" s="155"/>
      <c r="D29" s="83" t="s">
        <v>194</v>
      </c>
      <c r="E29" s="83" t="s">
        <v>193</v>
      </c>
      <c r="F29" s="83">
        <v>0</v>
      </c>
      <c r="G29" s="83">
        <v>0</v>
      </c>
      <c r="H29" s="83">
        <v>0</v>
      </c>
      <c r="I29" s="83">
        <v>1.9</v>
      </c>
      <c r="J29" s="83">
        <v>0</v>
      </c>
      <c r="K29" s="83">
        <v>0</v>
      </c>
      <c r="L29" s="83" t="s">
        <v>195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137">
        <v>8.4</v>
      </c>
      <c r="Y29" s="137" t="s">
        <v>196</v>
      </c>
      <c r="Z29" s="137" t="s">
        <v>197</v>
      </c>
      <c r="AA29" s="137">
        <v>5.7</v>
      </c>
      <c r="AB29" s="137">
        <v>7.2</v>
      </c>
      <c r="AC29" s="29">
        <v>2.5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0.32258064516129031</v>
      </c>
    </row>
    <row r="30" spans="1:35" ht="15.75" customHeight="1" x14ac:dyDescent="0.25">
      <c r="A30" s="165" t="s">
        <v>33</v>
      </c>
      <c r="B30" s="166"/>
      <c r="C30" s="167"/>
      <c r="D30" s="84" t="s">
        <v>8</v>
      </c>
      <c r="E30" s="84" t="s">
        <v>8</v>
      </c>
      <c r="F30" s="84" t="s">
        <v>8</v>
      </c>
      <c r="G30" s="84" t="s">
        <v>9</v>
      </c>
      <c r="H30" s="84" t="s">
        <v>9</v>
      </c>
      <c r="I30" s="84" t="s">
        <v>9</v>
      </c>
      <c r="J30" s="84" t="s">
        <v>9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22</v>
      </c>
      <c r="P30" s="84" t="s">
        <v>22</v>
      </c>
      <c r="Q30" s="84" t="s">
        <v>9</v>
      </c>
      <c r="R30" s="84" t="s">
        <v>9</v>
      </c>
      <c r="S30" s="84" t="s">
        <v>9</v>
      </c>
      <c r="T30" s="84" t="s">
        <v>9</v>
      </c>
      <c r="U30" s="84" t="s">
        <v>9</v>
      </c>
      <c r="V30" s="84" t="s">
        <v>9</v>
      </c>
      <c r="W30" s="84" t="s">
        <v>9</v>
      </c>
      <c r="X30" s="84" t="s">
        <v>9</v>
      </c>
      <c r="Y30" s="84" t="s">
        <v>8</v>
      </c>
      <c r="Z30" s="84" t="s">
        <v>8</v>
      </c>
      <c r="AA30" s="84" t="s">
        <v>9</v>
      </c>
      <c r="AB30" s="84" t="s">
        <v>9</v>
      </c>
      <c r="AC30" s="84" t="s">
        <v>9</v>
      </c>
      <c r="AD30" s="84" t="s">
        <v>9</v>
      </c>
      <c r="AE30" s="84" t="s">
        <v>12</v>
      </c>
      <c r="AF30" s="84" t="s">
        <v>12</v>
      </c>
      <c r="AG30" s="84" t="s">
        <v>12</v>
      </c>
      <c r="AH30" s="84" t="s">
        <v>12</v>
      </c>
      <c r="AI30" s="19">
        <f>IF(COUNTA(D30:AH30)&gt;0,(COUNTA(D30:AH30)-COUNTIF(D30:AH30,"NB")-COUNTIF(D30:AH30,"DN")-COUNTIF(D30:AH30,"An")-COUNTIF(D30:AH30,"NB^")-COUNTIF(D30:AH30,0))/COUNTA(D30:AH30),"")</f>
        <v>0.87096774193548387</v>
      </c>
    </row>
    <row r="31" spans="1:35" ht="15.75" customHeight="1" x14ac:dyDescent="0.25">
      <c r="A31" s="141" t="s">
        <v>34</v>
      </c>
      <c r="B31" s="142"/>
      <c r="C31" s="143"/>
      <c r="D31" s="72" t="s">
        <v>8</v>
      </c>
      <c r="E31" s="72" t="s">
        <v>8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22</v>
      </c>
      <c r="O31" s="72" t="s">
        <v>22</v>
      </c>
      <c r="P31" s="72" t="s">
        <v>22</v>
      </c>
      <c r="Q31" s="72" t="s">
        <v>9</v>
      </c>
      <c r="R31" s="72" t="s">
        <v>9</v>
      </c>
      <c r="S31" s="72" t="s">
        <v>9</v>
      </c>
      <c r="T31" s="72" t="s">
        <v>9</v>
      </c>
      <c r="U31" s="72" t="s">
        <v>9</v>
      </c>
      <c r="V31" s="72" t="s">
        <v>9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9</v>
      </c>
      <c r="AB31" s="72" t="s">
        <v>9</v>
      </c>
      <c r="AC31" s="72" t="s">
        <v>9</v>
      </c>
      <c r="AD31" s="72" t="s">
        <v>9</v>
      </c>
      <c r="AE31" s="72" t="s">
        <v>9</v>
      </c>
      <c r="AF31" s="72" t="s">
        <v>9</v>
      </c>
      <c r="AG31" s="72" t="s">
        <v>9</v>
      </c>
      <c r="AH31" s="72" t="s">
        <v>9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8" t="s">
        <v>35</v>
      </c>
      <c r="B32" s="169"/>
      <c r="C32" s="170"/>
      <c r="D32" s="85" t="s">
        <v>8</v>
      </c>
      <c r="E32" s="85" t="s">
        <v>8</v>
      </c>
      <c r="F32" s="85" t="s">
        <v>9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22</v>
      </c>
      <c r="O32" s="85" t="s">
        <v>22</v>
      </c>
      <c r="P32" s="85" t="s">
        <v>22</v>
      </c>
      <c r="Q32" s="85" t="s">
        <v>9</v>
      </c>
      <c r="R32" s="85" t="s">
        <v>9</v>
      </c>
      <c r="S32" s="85" t="s">
        <v>9</v>
      </c>
      <c r="T32" s="85" t="s">
        <v>9</v>
      </c>
      <c r="U32" s="85" t="s">
        <v>9</v>
      </c>
      <c r="V32" s="85" t="s">
        <v>9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9</v>
      </c>
      <c r="AE32" s="85" t="s">
        <v>9</v>
      </c>
      <c r="AF32" s="85" t="s">
        <v>9</v>
      </c>
      <c r="AG32" s="85" t="s">
        <v>9</v>
      </c>
      <c r="AH32" s="85" t="s">
        <v>9</v>
      </c>
      <c r="AI32" s="17">
        <f t="shared" si="0"/>
        <v>1</v>
      </c>
    </row>
    <row r="33" spans="1:44" ht="15.75" customHeight="1" x14ac:dyDescent="0.25">
      <c r="A33" s="144" t="s">
        <v>36</v>
      </c>
      <c r="B33" s="145"/>
      <c r="C33" s="146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22</v>
      </c>
      <c r="O33" s="81" t="s">
        <v>22</v>
      </c>
      <c r="P33" s="81" t="s">
        <v>22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81" t="s">
        <v>11</v>
      </c>
      <c r="AG33" s="81" t="s">
        <v>11</v>
      </c>
      <c r="AH33" s="81" t="s">
        <v>11</v>
      </c>
      <c r="AI33" s="19">
        <f t="shared" si="0"/>
        <v>1</v>
      </c>
    </row>
    <row r="34" spans="1:44" ht="15.75" customHeight="1" x14ac:dyDescent="0.25">
      <c r="A34" s="144" t="s">
        <v>95</v>
      </c>
      <c r="B34" s="145"/>
      <c r="C34" s="146"/>
      <c r="D34" s="81" t="s">
        <v>11</v>
      </c>
      <c r="E34" s="81" t="s">
        <v>11</v>
      </c>
      <c r="F34" s="81" t="s">
        <v>11</v>
      </c>
      <c r="G34" s="81" t="s">
        <v>11</v>
      </c>
      <c r="H34" s="81" t="s">
        <v>11</v>
      </c>
      <c r="I34" s="81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22</v>
      </c>
      <c r="O34" s="81" t="s">
        <v>22</v>
      </c>
      <c r="P34" s="81" t="s">
        <v>22</v>
      </c>
      <c r="Q34" s="81" t="s">
        <v>11</v>
      </c>
      <c r="R34" s="81" t="s">
        <v>11</v>
      </c>
      <c r="S34" s="81" t="s">
        <v>11</v>
      </c>
      <c r="T34" s="81" t="s">
        <v>11</v>
      </c>
      <c r="U34" s="81" t="s">
        <v>11</v>
      </c>
      <c r="V34" s="81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24" t="s">
        <v>22</v>
      </c>
      <c r="AI34" s="19">
        <f t="shared" si="0"/>
        <v>1</v>
      </c>
    </row>
    <row r="35" spans="1:44" ht="15.75" customHeight="1" thickBot="1" x14ac:dyDescent="0.3">
      <c r="A35" s="171" t="s">
        <v>96</v>
      </c>
      <c r="B35" s="172"/>
      <c r="C35" s="173"/>
      <c r="D35" s="95" t="s">
        <v>11</v>
      </c>
      <c r="E35" s="95" t="s">
        <v>11</v>
      </c>
      <c r="F35" s="95" t="s">
        <v>11</v>
      </c>
      <c r="G35" s="95" t="s">
        <v>11</v>
      </c>
      <c r="H35" s="95" t="s">
        <v>11</v>
      </c>
      <c r="I35" s="95" t="s">
        <v>11</v>
      </c>
      <c r="J35" s="95" t="s">
        <v>11</v>
      </c>
      <c r="K35" s="95" t="s">
        <v>11</v>
      </c>
      <c r="L35" s="95" t="s">
        <v>11</v>
      </c>
      <c r="M35" s="95" t="s">
        <v>22</v>
      </c>
      <c r="N35" s="95" t="s">
        <v>22</v>
      </c>
      <c r="O35" s="95" t="s">
        <v>22</v>
      </c>
      <c r="P35" s="95" t="s">
        <v>22</v>
      </c>
      <c r="Q35" s="95" t="s">
        <v>11</v>
      </c>
      <c r="R35" s="95" t="s">
        <v>11</v>
      </c>
      <c r="S35" s="95" t="s">
        <v>11</v>
      </c>
      <c r="T35" s="95" t="s">
        <v>11</v>
      </c>
      <c r="U35" s="95" t="s">
        <v>11</v>
      </c>
      <c r="V35" s="95" t="s">
        <v>11</v>
      </c>
      <c r="W35" s="96" t="s">
        <v>11</v>
      </c>
      <c r="X35" s="96" t="s">
        <v>11</v>
      </c>
      <c r="Y35" s="96" t="s">
        <v>11</v>
      </c>
      <c r="Z35" s="14" t="s">
        <v>11</v>
      </c>
      <c r="AA35" s="14" t="s">
        <v>11</v>
      </c>
      <c r="AB35" s="14" t="s">
        <v>11</v>
      </c>
      <c r="AC35" s="14" t="s">
        <v>11</v>
      </c>
      <c r="AD35" s="14" t="s">
        <v>11</v>
      </c>
      <c r="AE35" s="14" t="s">
        <v>11</v>
      </c>
      <c r="AF35" s="14" t="s">
        <v>11</v>
      </c>
      <c r="AG35" s="14" t="s">
        <v>11</v>
      </c>
      <c r="AH35" s="14" t="s">
        <v>22</v>
      </c>
      <c r="AI35" s="98">
        <f>IF(COUNTA(D35:AH35)&gt;0,(COUNTA(D35:AH35)-COUNTIF(D35:AH35,"NB")-COUNTIF(D35:AH35,"DN")-COUNTIF(D35:AH35,"An")-COUNTIF(D35:AH35,"NB^")-COUNTIF(D35:AH35,0))/COUNTA(D35:AH35),"")</f>
        <v>1</v>
      </c>
    </row>
    <row r="36" spans="1:44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31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132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6:C6"/>
    <mergeCell ref="A7:C7"/>
    <mergeCell ref="A8:C8"/>
    <mergeCell ref="A9:C9"/>
    <mergeCell ref="A10:C10"/>
    <mergeCell ref="A23:C23"/>
    <mergeCell ref="A24:C24"/>
    <mergeCell ref="A11:C11"/>
    <mergeCell ref="A25:C25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36:C36"/>
    <mergeCell ref="A41:AH41"/>
    <mergeCell ref="A37:C37"/>
    <mergeCell ref="A26:C26"/>
    <mergeCell ref="A27:C27"/>
    <mergeCell ref="A28:C28"/>
    <mergeCell ref="A29:C29"/>
    <mergeCell ref="A35:C35"/>
    <mergeCell ref="A32:C32"/>
    <mergeCell ref="A33:C33"/>
    <mergeCell ref="A34:C34"/>
    <mergeCell ref="A30:C30"/>
    <mergeCell ref="A31:C31"/>
  </mergeCells>
  <conditionalFormatting sqref="D6:AH35">
    <cfRule type="cellIs" dxfId="821" priority="1" operator="equal">
      <formula>0</formula>
    </cfRule>
    <cfRule type="cellIs" dxfId="820" priority="2" operator="equal">
      <formula>"B"</formula>
    </cfRule>
    <cfRule type="cellIs" dxfId="819" priority="3" operator="equal">
      <formula>"M"</formula>
    </cfRule>
    <cfRule type="cellIs" dxfId="818" priority="4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108</v>
      </c>
    </row>
    <row r="4" spans="1:44" s="5" customFormat="1" ht="15.75" customHeight="1" thickBot="1" x14ac:dyDescent="0.3">
      <c r="C4" s="6"/>
      <c r="D4" s="5" t="s">
        <v>3</v>
      </c>
      <c r="E4" s="5" t="s">
        <v>3</v>
      </c>
      <c r="K4" s="5" t="s">
        <v>3</v>
      </c>
      <c r="L4" s="5" t="s">
        <v>3</v>
      </c>
      <c r="M4" s="6"/>
      <c r="R4" s="5" t="s">
        <v>3</v>
      </c>
      <c r="S4" s="5" t="s">
        <v>3</v>
      </c>
      <c r="T4" s="6"/>
      <c r="Y4" s="5" t="s">
        <v>3</v>
      </c>
      <c r="Z4" s="5" t="s">
        <v>3</v>
      </c>
      <c r="AF4" s="5" t="s">
        <v>3</v>
      </c>
      <c r="AG4" s="5" t="s">
        <v>3</v>
      </c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9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8</v>
      </c>
      <c r="P6" s="72" t="s">
        <v>9</v>
      </c>
      <c r="Q6" s="72" t="s">
        <v>9</v>
      </c>
      <c r="R6" s="72" t="s">
        <v>22</v>
      </c>
      <c r="S6" s="72" t="s">
        <v>12</v>
      </c>
      <c r="T6" s="72" t="s">
        <v>12</v>
      </c>
      <c r="U6" s="72" t="s">
        <v>12</v>
      </c>
      <c r="V6" s="72" t="s">
        <v>12</v>
      </c>
      <c r="W6" s="72" t="s">
        <v>12</v>
      </c>
      <c r="X6" s="72" t="s">
        <v>12</v>
      </c>
      <c r="Y6" s="72" t="s">
        <v>12</v>
      </c>
      <c r="Z6" s="72" t="s">
        <v>12</v>
      </c>
      <c r="AA6" s="72" t="s">
        <v>12</v>
      </c>
      <c r="AB6" s="72" t="s">
        <v>12</v>
      </c>
      <c r="AC6" s="72" t="s">
        <v>12</v>
      </c>
      <c r="AD6" s="72" t="s">
        <v>12</v>
      </c>
      <c r="AE6" s="72" t="s">
        <v>12</v>
      </c>
      <c r="AF6" s="72" t="s">
        <v>12</v>
      </c>
      <c r="AG6" s="72" t="s">
        <v>12</v>
      </c>
      <c r="AH6" s="72" t="s">
        <v>12</v>
      </c>
      <c r="AI6" s="13">
        <f>IF(COUNTA(D6:AH6)&gt;0,(COUNTA(D6:AH6)-COUNTIF(D6:AH6,"NB")-COUNTIF(D6:AH6,"DN")-COUNTIF(D6:AH6,"An")-COUNTIF(D6:AH6,"NB^")-COUNTIF(D6:AH6,0))/COUNTA(D6:AH6),"")</f>
        <v>0.29032258064516131</v>
      </c>
    </row>
    <row r="7" spans="1:44" ht="15.75" customHeight="1" x14ac:dyDescent="0.25">
      <c r="A7" s="138" t="s">
        <v>10</v>
      </c>
      <c r="B7" s="139"/>
      <c r="C7" s="140"/>
      <c r="D7" s="73" t="s">
        <v>12</v>
      </c>
      <c r="E7" s="73" t="s">
        <v>12</v>
      </c>
      <c r="F7" s="73" t="s">
        <v>12</v>
      </c>
      <c r="G7" s="73" t="s">
        <v>12</v>
      </c>
      <c r="H7" s="73" t="s">
        <v>12</v>
      </c>
      <c r="I7" s="73" t="s">
        <v>12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22</v>
      </c>
      <c r="S7" s="73" t="s">
        <v>12</v>
      </c>
      <c r="T7" s="90" t="s">
        <v>12</v>
      </c>
      <c r="U7" s="90" t="s">
        <v>12</v>
      </c>
      <c r="V7" s="90" t="s">
        <v>12</v>
      </c>
      <c r="W7" s="90" t="s">
        <v>12</v>
      </c>
      <c r="X7" s="90" t="s">
        <v>12</v>
      </c>
      <c r="Y7" s="90" t="s">
        <v>12</v>
      </c>
      <c r="Z7" s="90" t="s">
        <v>12</v>
      </c>
      <c r="AA7" s="14" t="s">
        <v>12</v>
      </c>
      <c r="AB7" s="14" t="s">
        <v>12</v>
      </c>
      <c r="AC7" s="14" t="s">
        <v>12</v>
      </c>
      <c r="AD7" s="14" t="s">
        <v>12</v>
      </c>
      <c r="AE7" s="14" t="s">
        <v>12</v>
      </c>
      <c r="AF7" s="14" t="s">
        <v>12</v>
      </c>
      <c r="AG7" s="14" t="s">
        <v>12</v>
      </c>
      <c r="AH7" s="14" t="s">
        <v>12</v>
      </c>
      <c r="AI7" s="17">
        <f t="shared" ref="AI7:AI35" si="0">IF(COUNTA(D7:AH7)&gt;0,(COUNTA(D7:AH7)-COUNTIF(D7:AH7,"NB")-COUNTIF(D7:AH7,"DN")-COUNTIF(D7:AH7,"An")-COUNTIF(D7:AH7,"NB^")-COUNTIF(D7:AH7,0))/COUNTA(D7:AH7),"")</f>
        <v>0.29032258064516131</v>
      </c>
    </row>
    <row r="8" spans="1:44" ht="15.75" customHeight="1" x14ac:dyDescent="0.25">
      <c r="A8" s="144" t="s">
        <v>94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>IF(COUNTA(D8:AH8)&gt;0,(COUNTA(D8:AH8)-COUNTIF(D8:AH8,"NB")-COUNTIF(D8:AH8,"DN")-COUNTIF(D8:AH8,"An")-COUNTIF(D8:AH8,"NB^")-COUNTIF(D8:AH8,0))/COUNTA(D8:AH8),"")</f>
        <v>0</v>
      </c>
    </row>
    <row r="9" spans="1:44" ht="15.75" customHeight="1" x14ac:dyDescent="0.25">
      <c r="A9" s="147" t="s">
        <v>13</v>
      </c>
      <c r="B9" s="148"/>
      <c r="C9" s="149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12</v>
      </c>
      <c r="I9" s="79" t="s">
        <v>11</v>
      </c>
      <c r="J9" s="20" t="s">
        <v>11</v>
      </c>
      <c r="K9" s="20" t="s">
        <v>12</v>
      </c>
      <c r="L9" s="20" t="s">
        <v>12</v>
      </c>
      <c r="M9" s="20" t="s">
        <v>12</v>
      </c>
      <c r="N9" s="20" t="s">
        <v>11</v>
      </c>
      <c r="O9" s="20" t="s">
        <v>11</v>
      </c>
      <c r="P9" s="20" t="s">
        <v>12</v>
      </c>
      <c r="Q9" s="20" t="s">
        <v>12</v>
      </c>
      <c r="R9" s="20" t="s">
        <v>12</v>
      </c>
      <c r="S9" s="20" t="s">
        <v>12</v>
      </c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12</v>
      </c>
      <c r="Z9" s="20" t="s">
        <v>12</v>
      </c>
      <c r="AA9" s="79" t="s">
        <v>12</v>
      </c>
      <c r="AB9" s="79" t="s">
        <v>12</v>
      </c>
      <c r="AC9" s="79" t="s">
        <v>12</v>
      </c>
      <c r="AD9" s="79" t="s">
        <v>12</v>
      </c>
      <c r="AE9" s="79" t="s">
        <v>12</v>
      </c>
      <c r="AF9" s="79" t="s">
        <v>12</v>
      </c>
      <c r="AG9" s="79" t="s">
        <v>12</v>
      </c>
      <c r="AH9" s="79" t="s">
        <v>12</v>
      </c>
      <c r="AI9" s="13">
        <f t="shared" si="0"/>
        <v>0.25806451612903225</v>
      </c>
    </row>
    <row r="10" spans="1:44" ht="15.75" customHeight="1" x14ac:dyDescent="0.25">
      <c r="A10" s="150" t="s">
        <v>14</v>
      </c>
      <c r="B10" s="151"/>
      <c r="C10" s="152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12</v>
      </c>
      <c r="I10" s="80" t="s">
        <v>11</v>
      </c>
      <c r="J10" s="16" t="s">
        <v>11</v>
      </c>
      <c r="K10" s="16" t="s">
        <v>12</v>
      </c>
      <c r="L10" s="16" t="s">
        <v>12</v>
      </c>
      <c r="M10" s="16" t="s">
        <v>12</v>
      </c>
      <c r="N10" s="16" t="s">
        <v>11</v>
      </c>
      <c r="O10" s="16" t="s">
        <v>11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80" t="s">
        <v>12</v>
      </c>
      <c r="AB10" s="80" t="s">
        <v>12</v>
      </c>
      <c r="AC10" s="80" t="s">
        <v>12</v>
      </c>
      <c r="AD10" s="80" t="s">
        <v>12</v>
      </c>
      <c r="AE10" s="80" t="s">
        <v>12</v>
      </c>
      <c r="AF10" s="80" t="s">
        <v>12</v>
      </c>
      <c r="AG10" s="80" t="s">
        <v>12</v>
      </c>
      <c r="AH10" s="80" t="s">
        <v>12</v>
      </c>
      <c r="AI10" s="21">
        <f t="shared" si="0"/>
        <v>0.25806451612903225</v>
      </c>
    </row>
    <row r="11" spans="1:44" ht="15.75" customHeight="1" x14ac:dyDescent="0.25">
      <c r="A11" s="150" t="s">
        <v>15</v>
      </c>
      <c r="B11" s="151"/>
      <c r="C11" s="152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12</v>
      </c>
      <c r="I11" s="80" t="s">
        <v>11</v>
      </c>
      <c r="J11" s="16" t="s">
        <v>11</v>
      </c>
      <c r="K11" s="16" t="s">
        <v>12</v>
      </c>
      <c r="L11" s="16" t="s">
        <v>12</v>
      </c>
      <c r="M11" s="16" t="s">
        <v>12</v>
      </c>
      <c r="N11" s="16" t="s">
        <v>11</v>
      </c>
      <c r="O11" s="16" t="s">
        <v>11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80" t="s">
        <v>12</v>
      </c>
      <c r="AB11" s="80" t="s">
        <v>12</v>
      </c>
      <c r="AC11" s="80" t="s">
        <v>12</v>
      </c>
      <c r="AD11" s="80" t="s">
        <v>12</v>
      </c>
      <c r="AE11" s="80" t="s">
        <v>12</v>
      </c>
      <c r="AF11" s="80" t="s">
        <v>12</v>
      </c>
      <c r="AG11" s="80" t="s">
        <v>12</v>
      </c>
      <c r="AH11" s="80" t="s">
        <v>12</v>
      </c>
      <c r="AI11" s="21">
        <f t="shared" si="0"/>
        <v>0.25806451612903225</v>
      </c>
    </row>
    <row r="12" spans="1:44" ht="15.75" customHeight="1" x14ac:dyDescent="0.25">
      <c r="A12" s="150" t="s">
        <v>16</v>
      </c>
      <c r="B12" s="151"/>
      <c r="C12" s="152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12</v>
      </c>
      <c r="I12" s="80" t="s">
        <v>11</v>
      </c>
      <c r="J12" s="16" t="s">
        <v>11</v>
      </c>
      <c r="K12" s="16" t="s">
        <v>12</v>
      </c>
      <c r="L12" s="16" t="s">
        <v>12</v>
      </c>
      <c r="M12" s="16" t="s">
        <v>12</v>
      </c>
      <c r="N12" s="16" t="s">
        <v>11</v>
      </c>
      <c r="O12" s="16" t="s">
        <v>11</v>
      </c>
      <c r="P12" s="16" t="s">
        <v>12</v>
      </c>
      <c r="Q12" s="16" t="s">
        <v>12</v>
      </c>
      <c r="R12" s="16" t="s">
        <v>12</v>
      </c>
      <c r="S12" s="16" t="s">
        <v>12</v>
      </c>
      <c r="T12" s="16" t="s">
        <v>12</v>
      </c>
      <c r="U12" s="16" t="s">
        <v>12</v>
      </c>
      <c r="V12" s="16" t="s">
        <v>12</v>
      </c>
      <c r="W12" s="16" t="s">
        <v>12</v>
      </c>
      <c r="X12" s="16" t="s">
        <v>12</v>
      </c>
      <c r="Y12" s="16" t="s">
        <v>12</v>
      </c>
      <c r="Z12" s="16" t="s">
        <v>12</v>
      </c>
      <c r="AA12" s="80" t="s">
        <v>12</v>
      </c>
      <c r="AB12" s="80" t="s">
        <v>12</v>
      </c>
      <c r="AC12" s="80" t="s">
        <v>12</v>
      </c>
      <c r="AD12" s="80" t="s">
        <v>12</v>
      </c>
      <c r="AE12" s="80" t="s">
        <v>12</v>
      </c>
      <c r="AF12" s="80" t="s">
        <v>12</v>
      </c>
      <c r="AG12" s="80" t="s">
        <v>12</v>
      </c>
      <c r="AH12" s="80" t="s">
        <v>12</v>
      </c>
      <c r="AI12" s="21">
        <f t="shared" si="0"/>
        <v>0.25806451612903225</v>
      </c>
    </row>
    <row r="13" spans="1:44" ht="15.75" customHeight="1" x14ac:dyDescent="0.25">
      <c r="A13" s="150" t="s">
        <v>17</v>
      </c>
      <c r="B13" s="151"/>
      <c r="C13" s="152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16" t="s">
        <v>11</v>
      </c>
      <c r="K13" s="16" t="s">
        <v>12</v>
      </c>
      <c r="L13" s="16" t="s">
        <v>12</v>
      </c>
      <c r="M13" s="16" t="s">
        <v>12</v>
      </c>
      <c r="N13" s="16" t="s">
        <v>12</v>
      </c>
      <c r="O13" s="16" t="s">
        <v>12</v>
      </c>
      <c r="P13" s="16" t="s">
        <v>12</v>
      </c>
      <c r="Q13" s="16" t="s">
        <v>12</v>
      </c>
      <c r="R13" s="16" t="s">
        <v>12</v>
      </c>
      <c r="S13" s="16" t="s">
        <v>12</v>
      </c>
      <c r="T13" s="16" t="s">
        <v>12</v>
      </c>
      <c r="U13" s="16" t="s">
        <v>12</v>
      </c>
      <c r="V13" s="16" t="s">
        <v>12</v>
      </c>
      <c r="W13" s="16" t="s">
        <v>12</v>
      </c>
      <c r="X13" s="16" t="s">
        <v>12</v>
      </c>
      <c r="Y13" s="16" t="s">
        <v>12</v>
      </c>
      <c r="Z13" s="16" t="s">
        <v>12</v>
      </c>
      <c r="AA13" s="80" t="s">
        <v>12</v>
      </c>
      <c r="AB13" s="80" t="s">
        <v>12</v>
      </c>
      <c r="AC13" s="80" t="s">
        <v>12</v>
      </c>
      <c r="AD13" s="80" t="s">
        <v>12</v>
      </c>
      <c r="AE13" s="80" t="s">
        <v>12</v>
      </c>
      <c r="AF13" s="80" t="s">
        <v>12</v>
      </c>
      <c r="AG13" s="80" t="s">
        <v>12</v>
      </c>
      <c r="AH13" s="80" t="s">
        <v>12</v>
      </c>
      <c r="AI13" s="21">
        <f t="shared" si="0"/>
        <v>0.22580645161290322</v>
      </c>
    </row>
    <row r="14" spans="1:44" ht="15.75" customHeight="1" x14ac:dyDescent="0.25">
      <c r="A14" s="138" t="s">
        <v>18</v>
      </c>
      <c r="B14" s="139"/>
      <c r="C14" s="14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12</v>
      </c>
      <c r="L14" s="73" t="s">
        <v>12</v>
      </c>
      <c r="M14" s="73" t="s">
        <v>12</v>
      </c>
      <c r="N14" s="73" t="s">
        <v>12</v>
      </c>
      <c r="O14" s="73" t="s">
        <v>12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12</v>
      </c>
      <c r="U14" s="73" t="s">
        <v>12</v>
      </c>
      <c r="V14" s="73" t="s">
        <v>12</v>
      </c>
      <c r="W14" s="73" t="s">
        <v>12</v>
      </c>
      <c r="X14" s="73" t="s">
        <v>12</v>
      </c>
      <c r="Y14" s="73" t="s">
        <v>12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12</v>
      </c>
      <c r="AE14" s="73" t="s">
        <v>12</v>
      </c>
      <c r="AF14" s="73" t="s">
        <v>12</v>
      </c>
      <c r="AG14" s="73" t="s">
        <v>12</v>
      </c>
      <c r="AH14" s="73" t="s">
        <v>12</v>
      </c>
      <c r="AI14" s="17">
        <f t="shared" si="0"/>
        <v>0.22580645161290322</v>
      </c>
    </row>
    <row r="15" spans="1:44" ht="15.75" customHeight="1" x14ac:dyDescent="0.25">
      <c r="A15" s="147" t="s">
        <v>19</v>
      </c>
      <c r="B15" s="148"/>
      <c r="C15" s="149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12</v>
      </c>
      <c r="S15" s="20" t="s">
        <v>12</v>
      </c>
      <c r="T15" s="20" t="s">
        <v>12</v>
      </c>
      <c r="U15" s="20" t="s">
        <v>12</v>
      </c>
      <c r="V15" s="20" t="s">
        <v>12</v>
      </c>
      <c r="W15" s="20" t="s">
        <v>12</v>
      </c>
      <c r="X15" s="20" t="s">
        <v>12</v>
      </c>
      <c r="Y15" s="20" t="s">
        <v>12</v>
      </c>
      <c r="Z15" s="20" t="s">
        <v>12</v>
      </c>
      <c r="AA15" s="20" t="s">
        <v>12</v>
      </c>
      <c r="AB15" s="20" t="s">
        <v>12</v>
      </c>
      <c r="AC15" s="20" t="s">
        <v>12</v>
      </c>
      <c r="AD15" s="20" t="s">
        <v>12</v>
      </c>
      <c r="AE15" s="20" t="s">
        <v>12</v>
      </c>
      <c r="AF15" s="20" t="s">
        <v>12</v>
      </c>
      <c r="AG15" s="20" t="s">
        <v>12</v>
      </c>
      <c r="AH15" s="20" t="s">
        <v>12</v>
      </c>
      <c r="AI15" s="13">
        <f t="shared" si="0"/>
        <v>0.45161290322580644</v>
      </c>
    </row>
    <row r="16" spans="1:44" ht="15.75" customHeight="1" x14ac:dyDescent="0.25">
      <c r="A16" s="150" t="s">
        <v>20</v>
      </c>
      <c r="B16" s="151"/>
      <c r="C16" s="152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12</v>
      </c>
      <c r="S16" s="16" t="s">
        <v>12</v>
      </c>
      <c r="T16" s="16" t="s">
        <v>12</v>
      </c>
      <c r="U16" s="16" t="s">
        <v>12</v>
      </c>
      <c r="V16" s="16" t="s">
        <v>12</v>
      </c>
      <c r="W16" s="16" t="s">
        <v>12</v>
      </c>
      <c r="X16" s="16" t="s">
        <v>12</v>
      </c>
      <c r="Y16" s="16" t="s">
        <v>12</v>
      </c>
      <c r="Z16" s="16" t="s">
        <v>12</v>
      </c>
      <c r="AA16" s="16" t="s">
        <v>12</v>
      </c>
      <c r="AB16" s="16" t="s">
        <v>12</v>
      </c>
      <c r="AC16" s="16" t="s">
        <v>12</v>
      </c>
      <c r="AD16" s="16" t="s">
        <v>12</v>
      </c>
      <c r="AE16" s="16" t="s">
        <v>12</v>
      </c>
      <c r="AF16" s="16" t="s">
        <v>12</v>
      </c>
      <c r="AG16" s="16" t="s">
        <v>12</v>
      </c>
      <c r="AH16" s="16" t="s">
        <v>12</v>
      </c>
      <c r="AI16" s="21">
        <f t="shared" si="0"/>
        <v>0.45161290322580644</v>
      </c>
    </row>
    <row r="17" spans="1:35" ht="15.75" customHeight="1" x14ac:dyDescent="0.25">
      <c r="A17" s="138" t="s">
        <v>92</v>
      </c>
      <c r="B17" s="139"/>
      <c r="C17" s="14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12</v>
      </c>
      <c r="S17" s="16" t="s">
        <v>12</v>
      </c>
      <c r="T17" s="16" t="s">
        <v>12</v>
      </c>
      <c r="U17" s="16" t="s">
        <v>12</v>
      </c>
      <c r="V17" s="16" t="s">
        <v>12</v>
      </c>
      <c r="W17" s="16" t="s">
        <v>12</v>
      </c>
      <c r="X17" s="16" t="s">
        <v>12</v>
      </c>
      <c r="Y17" s="16" t="s">
        <v>12</v>
      </c>
      <c r="Z17" s="16" t="s">
        <v>12</v>
      </c>
      <c r="AA17" s="16" t="s">
        <v>12</v>
      </c>
      <c r="AB17" s="16" t="s">
        <v>12</v>
      </c>
      <c r="AC17" s="16" t="s">
        <v>12</v>
      </c>
      <c r="AD17" s="16" t="s">
        <v>12</v>
      </c>
      <c r="AE17" s="16" t="s">
        <v>12</v>
      </c>
      <c r="AF17" s="16" t="s">
        <v>12</v>
      </c>
      <c r="AG17" s="16" t="s">
        <v>12</v>
      </c>
      <c r="AH17" s="16" t="s">
        <v>12</v>
      </c>
      <c r="AI17" s="17">
        <f t="shared" si="0"/>
        <v>0.45161290322580644</v>
      </c>
    </row>
    <row r="18" spans="1:35" ht="15.75" customHeight="1" x14ac:dyDescent="0.25">
      <c r="A18" s="147" t="s">
        <v>21</v>
      </c>
      <c r="B18" s="148"/>
      <c r="C18" s="149"/>
      <c r="D18" s="20" t="s">
        <v>11</v>
      </c>
      <c r="E18" s="20" t="s">
        <v>11</v>
      </c>
      <c r="F18" s="20" t="s">
        <v>11</v>
      </c>
      <c r="G18" s="20" t="s">
        <v>11</v>
      </c>
      <c r="H18" s="20" t="s">
        <v>11</v>
      </c>
      <c r="I18" s="20" t="s">
        <v>11</v>
      </c>
      <c r="J18" s="20" t="s">
        <v>11</v>
      </c>
      <c r="K18" s="20" t="s">
        <v>11</v>
      </c>
      <c r="L18" s="20" t="s">
        <v>11</v>
      </c>
      <c r="M18" s="20" t="s">
        <v>11</v>
      </c>
      <c r="N18" s="20" t="s">
        <v>11</v>
      </c>
      <c r="O18" s="20" t="s">
        <v>11</v>
      </c>
      <c r="P18" s="20" t="s">
        <v>11</v>
      </c>
      <c r="Q18" s="20" t="s">
        <v>11</v>
      </c>
      <c r="R18" s="20" t="s">
        <v>22</v>
      </c>
      <c r="S18" s="20" t="s">
        <v>12</v>
      </c>
      <c r="T18" s="22" t="s">
        <v>12</v>
      </c>
      <c r="U18" s="22" t="s">
        <v>12</v>
      </c>
      <c r="V18" s="22" t="s">
        <v>12</v>
      </c>
      <c r="W18" s="22" t="s">
        <v>12</v>
      </c>
      <c r="X18" s="22" t="s">
        <v>12</v>
      </c>
      <c r="Y18" s="22" t="s">
        <v>12</v>
      </c>
      <c r="Z18" s="22" t="s">
        <v>12</v>
      </c>
      <c r="AA18" s="22" t="s">
        <v>12</v>
      </c>
      <c r="AB18" s="22" t="s">
        <v>12</v>
      </c>
      <c r="AC18" s="22" t="s">
        <v>12</v>
      </c>
      <c r="AD18" s="22" t="s">
        <v>12</v>
      </c>
      <c r="AE18" s="22" t="s">
        <v>12</v>
      </c>
      <c r="AF18" s="22" t="s">
        <v>22</v>
      </c>
      <c r="AG18" s="22" t="s">
        <v>22</v>
      </c>
      <c r="AH18" s="22" t="s">
        <v>22</v>
      </c>
      <c r="AI18" s="13">
        <f t="shared" si="0"/>
        <v>0.58064516129032262</v>
      </c>
    </row>
    <row r="19" spans="1:35" ht="15.75" customHeight="1" x14ac:dyDescent="0.25">
      <c r="A19" s="150" t="s">
        <v>23</v>
      </c>
      <c r="B19" s="151"/>
      <c r="C19" s="152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16" t="s">
        <v>11</v>
      </c>
      <c r="Q19" s="16" t="s">
        <v>11</v>
      </c>
      <c r="R19" s="16" t="s">
        <v>22</v>
      </c>
      <c r="S19" s="16" t="s">
        <v>12</v>
      </c>
      <c r="T19" s="23" t="s">
        <v>12</v>
      </c>
      <c r="U19" s="23" t="s">
        <v>12</v>
      </c>
      <c r="V19" s="23" t="s">
        <v>12</v>
      </c>
      <c r="W19" s="23" t="s">
        <v>12</v>
      </c>
      <c r="X19" s="23" t="s">
        <v>12</v>
      </c>
      <c r="Y19" s="23" t="s">
        <v>12</v>
      </c>
      <c r="Z19" s="23" t="s">
        <v>12</v>
      </c>
      <c r="AA19" s="23" t="s">
        <v>12</v>
      </c>
      <c r="AB19" s="23" t="s">
        <v>12</v>
      </c>
      <c r="AC19" s="23" t="s">
        <v>12</v>
      </c>
      <c r="AD19" s="23" t="s">
        <v>12</v>
      </c>
      <c r="AE19" s="23" t="s">
        <v>12</v>
      </c>
      <c r="AF19" s="23" t="s">
        <v>22</v>
      </c>
      <c r="AG19" s="23" t="s">
        <v>22</v>
      </c>
      <c r="AH19" s="23" t="s">
        <v>22</v>
      </c>
      <c r="AI19" s="21">
        <f t="shared" si="0"/>
        <v>0.58064516129032262</v>
      </c>
    </row>
    <row r="20" spans="1:35" ht="15.75" customHeight="1" x14ac:dyDescent="0.25">
      <c r="A20" s="150" t="s">
        <v>24</v>
      </c>
      <c r="B20" s="151"/>
      <c r="C20" s="152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80" t="s">
        <v>11</v>
      </c>
      <c r="K20" s="80" t="s">
        <v>11</v>
      </c>
      <c r="L20" s="80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22</v>
      </c>
      <c r="S20" s="80" t="s">
        <v>12</v>
      </c>
      <c r="T20" s="23" t="s">
        <v>12</v>
      </c>
      <c r="U20" s="23" t="s">
        <v>12</v>
      </c>
      <c r="V20" s="23" t="s">
        <v>12</v>
      </c>
      <c r="W20" s="23" t="s">
        <v>12</v>
      </c>
      <c r="X20" s="23" t="s">
        <v>12</v>
      </c>
      <c r="Y20" s="23" t="s">
        <v>12</v>
      </c>
      <c r="Z20" s="23" t="s">
        <v>12</v>
      </c>
      <c r="AA20" s="23" t="s">
        <v>12</v>
      </c>
      <c r="AB20" s="23" t="s">
        <v>12</v>
      </c>
      <c r="AC20" s="23" t="s">
        <v>12</v>
      </c>
      <c r="AD20" s="23" t="s">
        <v>12</v>
      </c>
      <c r="AE20" s="23" t="s">
        <v>12</v>
      </c>
      <c r="AF20" s="23" t="s">
        <v>22</v>
      </c>
      <c r="AG20" s="23" t="s">
        <v>22</v>
      </c>
      <c r="AH20" s="23" t="s">
        <v>22</v>
      </c>
      <c r="AI20" s="21">
        <f t="shared" si="0"/>
        <v>0.58064516129032262</v>
      </c>
    </row>
    <row r="21" spans="1:35" ht="15.75" customHeight="1" x14ac:dyDescent="0.25">
      <c r="A21" s="138" t="s">
        <v>25</v>
      </c>
      <c r="B21" s="139"/>
      <c r="C21" s="140"/>
      <c r="D21" s="15" t="s">
        <v>11</v>
      </c>
      <c r="E21" s="15" t="s">
        <v>11</v>
      </c>
      <c r="F21" s="15" t="s">
        <v>11</v>
      </c>
      <c r="G21" s="15" t="s">
        <v>11</v>
      </c>
      <c r="H21" s="15" t="s">
        <v>11</v>
      </c>
      <c r="I21" s="15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22</v>
      </c>
      <c r="S21" s="73" t="s">
        <v>12</v>
      </c>
      <c r="T21" s="14" t="s">
        <v>12</v>
      </c>
      <c r="U21" s="14" t="s">
        <v>12</v>
      </c>
      <c r="V21" s="14" t="s">
        <v>12</v>
      </c>
      <c r="W21" s="14" t="s">
        <v>12</v>
      </c>
      <c r="X21" s="14" t="s">
        <v>12</v>
      </c>
      <c r="Y21" s="14" t="s">
        <v>12</v>
      </c>
      <c r="Z21" s="14" t="s">
        <v>12</v>
      </c>
      <c r="AA21" s="14" t="s">
        <v>12</v>
      </c>
      <c r="AB21" s="14" t="s">
        <v>12</v>
      </c>
      <c r="AC21" s="14" t="s">
        <v>12</v>
      </c>
      <c r="AD21" s="14" t="s">
        <v>12</v>
      </c>
      <c r="AE21" s="14" t="s">
        <v>12</v>
      </c>
      <c r="AF21" s="14" t="s">
        <v>22</v>
      </c>
      <c r="AG21" s="14" t="s">
        <v>22</v>
      </c>
      <c r="AH21" s="14" t="s">
        <v>22</v>
      </c>
      <c r="AI21" s="17">
        <f t="shared" si="0"/>
        <v>0.58064516129032262</v>
      </c>
    </row>
    <row r="22" spans="1:35" ht="15.75" customHeight="1" x14ac:dyDescent="0.25">
      <c r="A22" s="144" t="s">
        <v>26</v>
      </c>
      <c r="B22" s="145"/>
      <c r="C22" s="146"/>
      <c r="D22" s="81" t="s">
        <v>12</v>
      </c>
      <c r="E22" s="81" t="s">
        <v>12</v>
      </c>
      <c r="F22" s="81" t="s">
        <v>12</v>
      </c>
      <c r="G22" s="81" t="s">
        <v>12</v>
      </c>
      <c r="H22" s="81" t="s">
        <v>22</v>
      </c>
      <c r="I22" s="81" t="s">
        <v>22</v>
      </c>
      <c r="J22" s="81" t="s">
        <v>22</v>
      </c>
      <c r="K22" s="81" t="s">
        <v>22</v>
      </c>
      <c r="L22" s="81" t="s">
        <v>12</v>
      </c>
      <c r="M22" s="81" t="s">
        <v>12</v>
      </c>
      <c r="N22" s="81" t="s">
        <v>12</v>
      </c>
      <c r="O22" s="81" t="s">
        <v>12</v>
      </c>
      <c r="P22" s="81" t="s">
        <v>12</v>
      </c>
      <c r="Q22" s="81" t="s">
        <v>12</v>
      </c>
      <c r="R22" s="81" t="s">
        <v>12</v>
      </c>
      <c r="S22" s="24" t="s">
        <v>12</v>
      </c>
      <c r="T22" s="24" t="s">
        <v>12</v>
      </c>
      <c r="U22" s="24" t="s">
        <v>12</v>
      </c>
      <c r="V22" s="24" t="s">
        <v>12</v>
      </c>
      <c r="W22" s="24" t="s">
        <v>12</v>
      </c>
      <c r="X22" s="24" t="s">
        <v>12</v>
      </c>
      <c r="Y22" s="24" t="s">
        <v>12</v>
      </c>
      <c r="Z22" s="24" t="s">
        <v>12</v>
      </c>
      <c r="AA22" s="24" t="s">
        <v>12</v>
      </c>
      <c r="AB22" s="24" t="s">
        <v>12</v>
      </c>
      <c r="AC22" s="24" t="s">
        <v>12</v>
      </c>
      <c r="AD22" s="24" t="s">
        <v>12</v>
      </c>
      <c r="AE22" s="24" t="s">
        <v>22</v>
      </c>
      <c r="AF22" s="24" t="s">
        <v>22</v>
      </c>
      <c r="AG22" s="24" t="s">
        <v>22</v>
      </c>
      <c r="AH22" s="24" t="s">
        <v>22</v>
      </c>
      <c r="AI22" s="19">
        <f t="shared" si="0"/>
        <v>0.25806451612903225</v>
      </c>
    </row>
    <row r="23" spans="1:35" ht="15.75" customHeight="1" x14ac:dyDescent="0.25">
      <c r="A23" s="147" t="s">
        <v>27</v>
      </c>
      <c r="B23" s="148"/>
      <c r="C23" s="149"/>
      <c r="D23" s="22" t="s">
        <v>12</v>
      </c>
      <c r="E23" s="22" t="s">
        <v>12</v>
      </c>
      <c r="F23" s="22" t="s">
        <v>11</v>
      </c>
      <c r="G23" s="22" t="s">
        <v>11</v>
      </c>
      <c r="H23" s="22" t="s">
        <v>11</v>
      </c>
      <c r="I23" s="22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12</v>
      </c>
      <c r="R23" s="20" t="s">
        <v>12</v>
      </c>
      <c r="S23" s="79" t="s">
        <v>12</v>
      </c>
      <c r="T23" s="79" t="s">
        <v>12</v>
      </c>
      <c r="U23" s="79" t="s">
        <v>12</v>
      </c>
      <c r="V23" s="79" t="s">
        <v>12</v>
      </c>
      <c r="W23" s="79" t="s">
        <v>12</v>
      </c>
      <c r="X23" s="79" t="s">
        <v>12</v>
      </c>
      <c r="Y23" s="79" t="s">
        <v>12</v>
      </c>
      <c r="Z23" s="79" t="s">
        <v>12</v>
      </c>
      <c r="AA23" s="79" t="s">
        <v>12</v>
      </c>
      <c r="AB23" s="22" t="s">
        <v>11</v>
      </c>
      <c r="AC23" s="22" t="s">
        <v>12</v>
      </c>
      <c r="AD23" s="22" t="s">
        <v>12</v>
      </c>
      <c r="AE23" s="22" t="s">
        <v>11</v>
      </c>
      <c r="AF23" s="22" t="s">
        <v>11</v>
      </c>
      <c r="AG23" s="22" t="s">
        <v>11</v>
      </c>
      <c r="AH23" s="22" t="s">
        <v>11</v>
      </c>
      <c r="AI23" s="13">
        <f t="shared" si="0"/>
        <v>0.5161290322580645</v>
      </c>
    </row>
    <row r="24" spans="1:35" ht="15.75" customHeight="1" x14ac:dyDescent="0.25">
      <c r="A24" s="138" t="s">
        <v>28</v>
      </c>
      <c r="B24" s="139"/>
      <c r="C24" s="140"/>
      <c r="D24" s="14" t="s">
        <v>12</v>
      </c>
      <c r="E24" s="14" t="s">
        <v>12</v>
      </c>
      <c r="F24" s="14" t="s">
        <v>11</v>
      </c>
      <c r="G24" s="14" t="s">
        <v>11</v>
      </c>
      <c r="H24" s="14" t="s">
        <v>11</v>
      </c>
      <c r="I24" s="14" t="s">
        <v>11</v>
      </c>
      <c r="J24" s="15" t="s">
        <v>11</v>
      </c>
      <c r="K24" s="15" t="s">
        <v>11</v>
      </c>
      <c r="L24" s="15" t="s">
        <v>11</v>
      </c>
      <c r="M24" s="15" t="s">
        <v>11</v>
      </c>
      <c r="N24" s="15" t="s">
        <v>11</v>
      </c>
      <c r="O24" s="15" t="s">
        <v>11</v>
      </c>
      <c r="P24" s="15" t="s">
        <v>11</v>
      </c>
      <c r="Q24" s="15" t="s">
        <v>12</v>
      </c>
      <c r="R24" s="15" t="s">
        <v>12</v>
      </c>
      <c r="S24" s="73" t="s">
        <v>12</v>
      </c>
      <c r="T24" s="73" t="s">
        <v>12</v>
      </c>
      <c r="U24" s="73" t="s">
        <v>12</v>
      </c>
      <c r="V24" s="73" t="s">
        <v>12</v>
      </c>
      <c r="W24" s="73" t="s">
        <v>12</v>
      </c>
      <c r="X24" s="73" t="s">
        <v>12</v>
      </c>
      <c r="Y24" s="73" t="s">
        <v>12</v>
      </c>
      <c r="Z24" s="73" t="s">
        <v>12</v>
      </c>
      <c r="AA24" s="73" t="s">
        <v>12</v>
      </c>
      <c r="AB24" s="14" t="s">
        <v>11</v>
      </c>
      <c r="AC24" s="14" t="s">
        <v>12</v>
      </c>
      <c r="AD24" s="14" t="s">
        <v>12</v>
      </c>
      <c r="AE24" s="14" t="s">
        <v>11</v>
      </c>
      <c r="AF24" s="14" t="s">
        <v>11</v>
      </c>
      <c r="AG24" s="14" t="s">
        <v>11</v>
      </c>
      <c r="AH24" s="14" t="s">
        <v>11</v>
      </c>
      <c r="AI24" s="17">
        <f t="shared" si="0"/>
        <v>0.5161290322580645</v>
      </c>
    </row>
    <row r="25" spans="1:35" ht="15.75" customHeight="1" x14ac:dyDescent="0.25">
      <c r="A25" s="144" t="s">
        <v>29</v>
      </c>
      <c r="B25" s="145"/>
      <c r="C25" s="146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22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22</v>
      </c>
      <c r="S25" s="26" t="s">
        <v>22</v>
      </c>
      <c r="T25" s="26" t="s">
        <v>22</v>
      </c>
      <c r="U25" s="26" t="s">
        <v>12</v>
      </c>
      <c r="V25" s="26" t="s">
        <v>12</v>
      </c>
      <c r="W25" s="26" t="s">
        <v>12</v>
      </c>
      <c r="X25" s="26" t="s">
        <v>12</v>
      </c>
      <c r="Y25" s="26" t="s">
        <v>12</v>
      </c>
      <c r="Z25" s="26" t="s">
        <v>12</v>
      </c>
      <c r="AA25" s="26" t="s">
        <v>12</v>
      </c>
      <c r="AB25" s="26" t="s">
        <v>12</v>
      </c>
      <c r="AC25" s="26" t="s">
        <v>12</v>
      </c>
      <c r="AD25" s="26" t="s">
        <v>12</v>
      </c>
      <c r="AE25" s="26" t="s">
        <v>12</v>
      </c>
      <c r="AF25" s="26" t="s">
        <v>11</v>
      </c>
      <c r="AG25" s="26" t="s">
        <v>11</v>
      </c>
      <c r="AH25" s="81" t="s">
        <v>11</v>
      </c>
      <c r="AI25" s="19">
        <f t="shared" si="0"/>
        <v>0.64516129032258063</v>
      </c>
    </row>
    <row r="26" spans="1:35" ht="15.75" customHeight="1" x14ac:dyDescent="0.25">
      <c r="A26" s="144" t="s">
        <v>30</v>
      </c>
      <c r="B26" s="145"/>
      <c r="C26" s="146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22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22</v>
      </c>
      <c r="S26" s="81" t="s">
        <v>22</v>
      </c>
      <c r="T26" s="81" t="s">
        <v>22</v>
      </c>
      <c r="U26" s="81" t="s">
        <v>12</v>
      </c>
      <c r="V26" s="81" t="s">
        <v>12</v>
      </c>
      <c r="W26" s="81" t="s">
        <v>12</v>
      </c>
      <c r="X26" s="81" t="s">
        <v>12</v>
      </c>
      <c r="Y26" s="81" t="s">
        <v>12</v>
      </c>
      <c r="Z26" s="81" t="s">
        <v>12</v>
      </c>
      <c r="AA26" s="81" t="s">
        <v>12</v>
      </c>
      <c r="AB26" s="81" t="s">
        <v>12</v>
      </c>
      <c r="AC26" s="81" t="s">
        <v>12</v>
      </c>
      <c r="AD26" s="81" t="s">
        <v>12</v>
      </c>
      <c r="AE26" s="81" t="s">
        <v>12</v>
      </c>
      <c r="AF26" s="81" t="s">
        <v>11</v>
      </c>
      <c r="AG26" s="81" t="s">
        <v>11</v>
      </c>
      <c r="AH26" s="81" t="s">
        <v>11</v>
      </c>
      <c r="AI26" s="19">
        <f t="shared" si="0"/>
        <v>0.64516129032258063</v>
      </c>
    </row>
    <row r="27" spans="1:35" ht="15.75" customHeight="1" x14ac:dyDescent="0.25">
      <c r="A27" s="141" t="s">
        <v>31</v>
      </c>
      <c r="B27" s="142"/>
      <c r="C27" s="143"/>
      <c r="D27" s="72" t="s">
        <v>9</v>
      </c>
      <c r="E27" s="72" t="s">
        <v>9</v>
      </c>
      <c r="F27" s="72" t="s">
        <v>9</v>
      </c>
      <c r="G27" s="72" t="s">
        <v>9</v>
      </c>
      <c r="H27" s="72" t="s">
        <v>8</v>
      </c>
      <c r="I27" s="72" t="s">
        <v>9</v>
      </c>
      <c r="J27" s="72" t="s">
        <v>9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8</v>
      </c>
      <c r="P27" s="72" t="s">
        <v>9</v>
      </c>
      <c r="Q27" s="72" t="s">
        <v>9</v>
      </c>
      <c r="R27" s="72" t="s">
        <v>22</v>
      </c>
      <c r="S27" s="27" t="s">
        <v>12</v>
      </c>
      <c r="T27" s="27" t="s">
        <v>12</v>
      </c>
      <c r="U27" s="27" t="s">
        <v>12</v>
      </c>
      <c r="V27" s="27" t="s">
        <v>12</v>
      </c>
      <c r="W27" s="27" t="s">
        <v>12</v>
      </c>
      <c r="X27" s="27" t="s">
        <v>12</v>
      </c>
      <c r="Y27" s="27" t="s">
        <v>12</v>
      </c>
      <c r="Z27" s="27" t="s">
        <v>12</v>
      </c>
      <c r="AA27" s="27" t="s">
        <v>12</v>
      </c>
      <c r="AB27" s="27" t="s">
        <v>12</v>
      </c>
      <c r="AC27" s="27" t="s">
        <v>12</v>
      </c>
      <c r="AD27" s="27" t="s">
        <v>12</v>
      </c>
      <c r="AE27" s="27" t="s">
        <v>12</v>
      </c>
      <c r="AF27" s="27" t="s">
        <v>12</v>
      </c>
      <c r="AG27" s="27" t="s">
        <v>12</v>
      </c>
      <c r="AH27" s="27" t="s">
        <v>12</v>
      </c>
      <c r="AI27" s="13">
        <f t="shared" si="0"/>
        <v>0.4838709677419355</v>
      </c>
    </row>
    <row r="28" spans="1:35" ht="15.75" customHeight="1" x14ac:dyDescent="0.25">
      <c r="A28" s="156" t="s">
        <v>32</v>
      </c>
      <c r="B28" s="157"/>
      <c r="C28" s="158"/>
      <c r="D28" s="28">
        <v>2</v>
      </c>
      <c r="E28" s="28">
        <v>2</v>
      </c>
      <c r="F28" s="28">
        <v>2</v>
      </c>
      <c r="G28" s="28">
        <v>2</v>
      </c>
      <c r="H28" s="28">
        <v>2</v>
      </c>
      <c r="I28" s="28">
        <v>3</v>
      </c>
      <c r="J28" s="82">
        <v>3</v>
      </c>
      <c r="K28" s="82">
        <v>3</v>
      </c>
      <c r="L28" s="82">
        <v>2</v>
      </c>
      <c r="M28" s="82">
        <v>2</v>
      </c>
      <c r="N28" s="82">
        <v>2.5</v>
      </c>
      <c r="O28" s="82">
        <v>2.5</v>
      </c>
      <c r="P28" s="82">
        <v>2.5</v>
      </c>
      <c r="Q28" s="82">
        <v>2</v>
      </c>
      <c r="R28" s="28">
        <v>2</v>
      </c>
      <c r="S28" s="28">
        <v>3</v>
      </c>
      <c r="T28" s="28">
        <v>2</v>
      </c>
      <c r="U28" s="28">
        <v>2</v>
      </c>
      <c r="V28" s="28">
        <v>2</v>
      </c>
      <c r="W28" s="28">
        <v>0</v>
      </c>
      <c r="X28" s="28">
        <v>0</v>
      </c>
      <c r="Y28" s="28">
        <v>0</v>
      </c>
      <c r="Z28" s="28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17">
        <f>IF(COUNTA(D28:AH28)&gt;0,(COUNTA(D28:AH28)-COUNTIF(D28:AH28,"NB")-COUNTIF(D28:AH28,"DN")-COUNTIF(D28:AH28,"An")-COUNTIF(D28:AH28,"NB^")-COUNTIF(D28:AH28,0))/COUNTA(D28:AH28),"")</f>
        <v>0.61290322580645162</v>
      </c>
    </row>
    <row r="29" spans="1:35" ht="15.75" customHeight="1" x14ac:dyDescent="0.25">
      <c r="A29" s="153" t="s">
        <v>99</v>
      </c>
      <c r="B29" s="154"/>
      <c r="C29" s="155"/>
      <c r="D29" s="29">
        <v>0</v>
      </c>
      <c r="E29" s="29">
        <v>0</v>
      </c>
      <c r="F29" s="29">
        <v>0</v>
      </c>
      <c r="G29" s="29" t="s">
        <v>198</v>
      </c>
      <c r="H29" s="29" t="s">
        <v>199</v>
      </c>
      <c r="I29" s="29" t="s">
        <v>200</v>
      </c>
      <c r="J29" s="83" t="s">
        <v>201</v>
      </c>
      <c r="K29" s="83">
        <v>0</v>
      </c>
      <c r="L29" s="83">
        <v>0</v>
      </c>
      <c r="M29" s="83">
        <v>0</v>
      </c>
      <c r="N29" s="83" t="s">
        <v>202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6.4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83">
        <v>0</v>
      </c>
      <c r="AI29" s="19">
        <f>IF(COUNTA(D29:AH29)&gt;0,(COUNTA(D29:AH29)-COUNTIF(D29:AH29,"NB")-COUNTIF(D29:AH29,"DN")-COUNTIF(D29:AH29,"An")-COUNTIF(D29:AH29,"NB^")-COUNTIF(D29:AH29,0))/COUNTA(D29:AH29),"")</f>
        <v>0.19354838709677419</v>
      </c>
    </row>
    <row r="30" spans="1:35" ht="15.75" customHeight="1" x14ac:dyDescent="0.25">
      <c r="A30" s="165" t="s">
        <v>33</v>
      </c>
      <c r="B30" s="166"/>
      <c r="C30" s="167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9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8</v>
      </c>
      <c r="P30" s="84" t="s">
        <v>9</v>
      </c>
      <c r="Q30" s="84" t="s">
        <v>9</v>
      </c>
      <c r="R30" s="84" t="s">
        <v>22</v>
      </c>
      <c r="S30" s="84" t="s">
        <v>12</v>
      </c>
      <c r="T30" s="84" t="s">
        <v>12</v>
      </c>
      <c r="U30" s="84" t="s">
        <v>12</v>
      </c>
      <c r="V30" s="84" t="s">
        <v>12</v>
      </c>
      <c r="W30" s="84" t="s">
        <v>12</v>
      </c>
      <c r="X30" s="84" t="s">
        <v>12</v>
      </c>
      <c r="Y30" s="84" t="s">
        <v>12</v>
      </c>
      <c r="Z30" s="84" t="s">
        <v>12</v>
      </c>
      <c r="AA30" s="84" t="s">
        <v>12</v>
      </c>
      <c r="AB30" s="84" t="s">
        <v>12</v>
      </c>
      <c r="AC30" s="84" t="s">
        <v>12</v>
      </c>
      <c r="AD30" s="84" t="s">
        <v>12</v>
      </c>
      <c r="AE30" s="84" t="s">
        <v>12</v>
      </c>
      <c r="AF30" s="84" t="s">
        <v>12</v>
      </c>
      <c r="AG30" s="84" t="s">
        <v>12</v>
      </c>
      <c r="AH30" s="84" t="s">
        <v>12</v>
      </c>
      <c r="AI30" s="19">
        <f>IF(COUNTA(D30:AH30)&gt;0,(COUNTA(D30:AH30)-COUNTIF(D30:AH30,"NB")-COUNTIF(D30:AH30,"DN")-COUNTIF(D30:AH30,"An")-COUNTIF(D30:AH30,"NB^")-COUNTIF(D30:AH30,0))/COUNTA(D30:AH30),"")</f>
        <v>0.29032258064516131</v>
      </c>
    </row>
    <row r="31" spans="1:35" ht="15.75" customHeight="1" x14ac:dyDescent="0.25">
      <c r="A31" s="141" t="s">
        <v>34</v>
      </c>
      <c r="B31" s="142"/>
      <c r="C31" s="143"/>
      <c r="D31" s="72" t="s">
        <v>9</v>
      </c>
      <c r="E31" s="72" t="s">
        <v>9</v>
      </c>
      <c r="F31" s="72" t="s">
        <v>9</v>
      </c>
      <c r="G31" s="72" t="s">
        <v>9</v>
      </c>
      <c r="H31" s="72" t="s">
        <v>8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8</v>
      </c>
      <c r="P31" s="72" t="s">
        <v>9</v>
      </c>
      <c r="Q31" s="72" t="s">
        <v>9</v>
      </c>
      <c r="R31" s="72" t="s">
        <v>22</v>
      </c>
      <c r="S31" s="72" t="s">
        <v>12</v>
      </c>
      <c r="T31" s="72" t="s">
        <v>12</v>
      </c>
      <c r="U31" s="72" t="s">
        <v>12</v>
      </c>
      <c r="V31" s="72" t="s">
        <v>12</v>
      </c>
      <c r="W31" s="72" t="s">
        <v>12</v>
      </c>
      <c r="X31" s="72" t="s">
        <v>12</v>
      </c>
      <c r="Y31" s="72" t="s">
        <v>12</v>
      </c>
      <c r="Z31" s="72" t="s">
        <v>12</v>
      </c>
      <c r="AA31" s="72" t="s">
        <v>12</v>
      </c>
      <c r="AB31" s="72" t="s">
        <v>12</v>
      </c>
      <c r="AC31" s="72" t="s">
        <v>12</v>
      </c>
      <c r="AD31" s="72" t="s">
        <v>12</v>
      </c>
      <c r="AE31" s="72" t="s">
        <v>12</v>
      </c>
      <c r="AF31" s="72" t="s">
        <v>12</v>
      </c>
      <c r="AG31" s="72" t="s">
        <v>12</v>
      </c>
      <c r="AH31" s="72" t="s">
        <v>12</v>
      </c>
      <c r="AI31" s="13">
        <f>IF(COUNTA(D31:AH31)&gt;0,(COUNTA(D31:AH31)-COUNTIF(D31:AH31,"NB")-COUNTIF(D31:AH31,"DN")-COUNTIF(D31:AH31,"An")-COUNTIF(D31:AH31,"NB^")-COUNTIF(D31:AH31,0))/COUNTA(D31:AH31),"")</f>
        <v>0.4838709677419355</v>
      </c>
    </row>
    <row r="32" spans="1:35" ht="15.75" customHeight="1" x14ac:dyDescent="0.25">
      <c r="A32" s="168" t="s">
        <v>35</v>
      </c>
      <c r="B32" s="169"/>
      <c r="C32" s="170"/>
      <c r="D32" s="85" t="s">
        <v>9</v>
      </c>
      <c r="E32" s="85" t="s">
        <v>9</v>
      </c>
      <c r="F32" s="85" t="s">
        <v>9</v>
      </c>
      <c r="G32" s="85" t="s">
        <v>9</v>
      </c>
      <c r="H32" s="85" t="s">
        <v>8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8</v>
      </c>
      <c r="P32" s="85" t="s">
        <v>9</v>
      </c>
      <c r="Q32" s="85" t="s">
        <v>9</v>
      </c>
      <c r="R32" s="85" t="s">
        <v>22</v>
      </c>
      <c r="S32" s="85" t="s">
        <v>12</v>
      </c>
      <c r="T32" s="85" t="s">
        <v>12</v>
      </c>
      <c r="U32" s="85" t="s">
        <v>12</v>
      </c>
      <c r="V32" s="85" t="s">
        <v>12</v>
      </c>
      <c r="W32" s="85" t="s">
        <v>12</v>
      </c>
      <c r="X32" s="85" t="s">
        <v>12</v>
      </c>
      <c r="Y32" s="85" t="s">
        <v>12</v>
      </c>
      <c r="Z32" s="85" t="s">
        <v>12</v>
      </c>
      <c r="AA32" s="85" t="s">
        <v>12</v>
      </c>
      <c r="AB32" s="85" t="s">
        <v>12</v>
      </c>
      <c r="AC32" s="85" t="s">
        <v>12</v>
      </c>
      <c r="AD32" s="85" t="s">
        <v>12</v>
      </c>
      <c r="AE32" s="85" t="s">
        <v>12</v>
      </c>
      <c r="AF32" s="85" t="s">
        <v>12</v>
      </c>
      <c r="AG32" s="85" t="s">
        <v>12</v>
      </c>
      <c r="AH32" s="85" t="s">
        <v>12</v>
      </c>
      <c r="AI32" s="17">
        <f t="shared" si="0"/>
        <v>0.4838709677419355</v>
      </c>
    </row>
    <row r="33" spans="1:44" ht="15.75" customHeight="1" x14ac:dyDescent="0.25">
      <c r="A33" s="144" t="s">
        <v>36</v>
      </c>
      <c r="B33" s="145"/>
      <c r="C33" s="146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22</v>
      </c>
      <c r="S33" s="25" t="s">
        <v>12</v>
      </c>
      <c r="T33" s="25" t="s">
        <v>12</v>
      </c>
      <c r="U33" s="25" t="s">
        <v>12</v>
      </c>
      <c r="V33" s="25" t="s">
        <v>12</v>
      </c>
      <c r="W33" s="25" t="s">
        <v>12</v>
      </c>
      <c r="X33" s="25" t="s">
        <v>12</v>
      </c>
      <c r="Y33" s="25" t="s">
        <v>12</v>
      </c>
      <c r="Z33" s="25" t="s">
        <v>12</v>
      </c>
      <c r="AA33" s="25" t="s">
        <v>12</v>
      </c>
      <c r="AB33" s="25" t="s">
        <v>12</v>
      </c>
      <c r="AC33" s="25" t="s">
        <v>12</v>
      </c>
      <c r="AD33" s="25" t="s">
        <v>12</v>
      </c>
      <c r="AE33" s="25" t="s">
        <v>12</v>
      </c>
      <c r="AF33" s="25" t="s">
        <v>12</v>
      </c>
      <c r="AG33" s="25" t="s">
        <v>12</v>
      </c>
      <c r="AH33" s="25" t="s">
        <v>12</v>
      </c>
      <c r="AI33" s="19">
        <f t="shared" si="0"/>
        <v>0.4838709677419355</v>
      </c>
    </row>
    <row r="34" spans="1:44" ht="15.75" customHeight="1" x14ac:dyDescent="0.25">
      <c r="A34" s="144" t="s">
        <v>95</v>
      </c>
      <c r="B34" s="145"/>
      <c r="C34" s="146"/>
      <c r="D34" s="25" t="s">
        <v>11</v>
      </c>
      <c r="E34" s="25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81" t="s">
        <v>11</v>
      </c>
      <c r="R34" s="81" t="s">
        <v>22</v>
      </c>
      <c r="S34" s="24" t="s">
        <v>12</v>
      </c>
      <c r="T34" s="24" t="s">
        <v>12</v>
      </c>
      <c r="U34" s="24" t="s">
        <v>12</v>
      </c>
      <c r="V34" s="24" t="s">
        <v>12</v>
      </c>
      <c r="W34" s="24" t="s">
        <v>12</v>
      </c>
      <c r="X34" s="24" t="s">
        <v>12</v>
      </c>
      <c r="Y34" s="24" t="s">
        <v>12</v>
      </c>
      <c r="Z34" s="24" t="s">
        <v>12</v>
      </c>
      <c r="AA34" s="25" t="s">
        <v>12</v>
      </c>
      <c r="AB34" s="25" t="s">
        <v>12</v>
      </c>
      <c r="AC34" s="25" t="s">
        <v>12</v>
      </c>
      <c r="AD34" s="25" t="s">
        <v>12</v>
      </c>
      <c r="AE34" s="25" t="s">
        <v>12</v>
      </c>
      <c r="AF34" s="25" t="s">
        <v>22</v>
      </c>
      <c r="AG34" s="25" t="s">
        <v>22</v>
      </c>
      <c r="AH34" s="25" t="s">
        <v>22</v>
      </c>
      <c r="AI34" s="19">
        <f t="shared" si="0"/>
        <v>0.58064516129032262</v>
      </c>
    </row>
    <row r="35" spans="1:44" ht="15.75" customHeight="1" thickBot="1" x14ac:dyDescent="0.3">
      <c r="A35" s="171" t="s">
        <v>96</v>
      </c>
      <c r="B35" s="172"/>
      <c r="C35" s="173"/>
      <c r="D35" s="97" t="s">
        <v>11</v>
      </c>
      <c r="E35" s="97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5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95" t="s">
        <v>11</v>
      </c>
      <c r="R35" s="95" t="s">
        <v>22</v>
      </c>
      <c r="S35" s="96" t="s">
        <v>12</v>
      </c>
      <c r="T35" s="96" t="s">
        <v>12</v>
      </c>
      <c r="U35" s="96" t="s">
        <v>12</v>
      </c>
      <c r="V35" s="96" t="s">
        <v>12</v>
      </c>
      <c r="W35" s="96" t="s">
        <v>12</v>
      </c>
      <c r="X35" s="96" t="s">
        <v>12</v>
      </c>
      <c r="Y35" s="96" t="s">
        <v>12</v>
      </c>
      <c r="Z35" s="96" t="s">
        <v>12</v>
      </c>
      <c r="AA35" s="97" t="s">
        <v>12</v>
      </c>
      <c r="AB35" s="97" t="s">
        <v>12</v>
      </c>
      <c r="AC35" s="97" t="s">
        <v>12</v>
      </c>
      <c r="AD35" s="97" t="s">
        <v>12</v>
      </c>
      <c r="AE35" s="97" t="s">
        <v>12</v>
      </c>
      <c r="AF35" s="97" t="s">
        <v>22</v>
      </c>
      <c r="AG35" s="97" t="s">
        <v>22</v>
      </c>
      <c r="AH35" s="97" t="s">
        <v>22</v>
      </c>
      <c r="AI35" s="98">
        <f t="shared" si="0"/>
        <v>0.58064516129032262</v>
      </c>
    </row>
    <row r="36" spans="1:44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>IF(AND(O5&gt;0,COUNTA(O6:O37)&gt;0,COUNTA(O6:O37)-COUNTIF(O6:O37,"NB")-COUNTIF(O30:O31, "0")=COUNTA(O6:O37)),"AB","")</f>
        <v/>
      </c>
      <c r="P38" s="37" t="str">
        <f>IF(AND(P5&gt;0,COUNTA(P6:P37)&gt;0,COUNTA(P6:P37)-COUNTIF(P6:P37,"NB")-COUNTIF(P30:P31, "0")=COUNTA(P6:P37)),"AB","")</f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>IF(AND(P5:P5&gt;0,COUNTA(P6:P35),COUNTIF(P6:P35,"NB")+COUNTIF(P6:P35,0)=COUNTA(P6:P35)),"ANB","")</f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>ANB</v>
      </c>
      <c r="X39" s="38" t="str">
        <f t="shared" si="2"/>
        <v>ANB</v>
      </c>
      <c r="Y39" s="38" t="str">
        <f t="shared" si="2"/>
        <v>ANB</v>
      </c>
      <c r="Z39" s="38" t="str">
        <f t="shared" si="2"/>
        <v>ANB</v>
      </c>
      <c r="AA39" s="38" t="str">
        <f t="shared" si="2"/>
        <v>ANB</v>
      </c>
      <c r="AB39" s="38" t="str">
        <f t="shared" si="2"/>
        <v/>
      </c>
      <c r="AC39" s="38" t="str">
        <f t="shared" si="2"/>
        <v>ANB</v>
      </c>
      <c r="AD39" s="38" t="str">
        <f t="shared" si="2"/>
        <v>ANB</v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24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7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J6:M7 J9:M35 O15:O35 O6:O7 R22:T35 T9:T21 R6:T7 R15:S21 AA6:AB7 AA9:AB22 AA27:AB35 AB23:AB26 AF6:AH7 AF18:AH35">
    <cfRule type="containsText" dxfId="817" priority="58" operator="containsText" text="NB">
      <formula>NOT(ISERROR(SEARCH("NB",J6)))</formula>
    </cfRule>
    <cfRule type="containsText" dxfId="816" priority="59" operator="containsText" text="M">
      <formula>NOT(ISERROR(SEARCH("M",J6)))</formula>
    </cfRule>
    <cfRule type="containsText" dxfId="815" priority="60" operator="containsText" text="B">
      <formula>NOT(ISERROR(SEARCH("B",J6)))</formula>
    </cfRule>
  </conditionalFormatting>
  <conditionalFormatting sqref="D36:AH37 J6:M7 J9:M35 O15:O35 O6:O7 R22:T35 T9:T21 R6:T7 R15:S21 AA6:AB7 AA9:AB22 AA27:AB35 AB23:AB26 AF6:AH7 AF18:AH35">
    <cfRule type="cellIs" dxfId="814" priority="57" operator="equal">
      <formula>0</formula>
    </cfRule>
  </conditionalFormatting>
  <conditionalFormatting sqref="D6:D35 E23:I24 E6:I21 E30:I35 J8:M8 O8 R8:T8 Z8:AB8 AE8:AH8">
    <cfRule type="cellIs" dxfId="813" priority="53" operator="equal">
      <formula>0</formula>
    </cfRule>
    <cfRule type="cellIs" dxfId="812" priority="54" operator="equal">
      <formula>"B"</formula>
    </cfRule>
    <cfRule type="cellIs" dxfId="811" priority="55" operator="equal">
      <formula>"M"</formula>
    </cfRule>
    <cfRule type="cellIs" dxfId="810" priority="56" operator="equal">
      <formula>"NB"</formula>
    </cfRule>
  </conditionalFormatting>
  <conditionalFormatting sqref="E22:I22 E25:I29">
    <cfRule type="cellIs" dxfId="809" priority="49" operator="equal">
      <formula>0</formula>
    </cfRule>
    <cfRule type="cellIs" dxfId="808" priority="50" operator="equal">
      <formula>"B"</formula>
    </cfRule>
    <cfRule type="cellIs" dxfId="807" priority="51" operator="equal">
      <formula>"M"</formula>
    </cfRule>
    <cfRule type="cellIs" dxfId="806" priority="52" operator="equal">
      <formula>"NB"</formula>
    </cfRule>
  </conditionalFormatting>
  <conditionalFormatting sqref="N6:N7 N9:N35 O9:O14">
    <cfRule type="containsText" dxfId="805" priority="46" operator="containsText" text="NB">
      <formula>NOT(ISERROR(SEARCH("NB",N6)))</formula>
    </cfRule>
    <cfRule type="containsText" dxfId="804" priority="47" operator="containsText" text="M">
      <formula>NOT(ISERROR(SEARCH("M",N6)))</formula>
    </cfRule>
    <cfRule type="containsText" dxfId="803" priority="48" operator="containsText" text="B">
      <formula>NOT(ISERROR(SEARCH("B",N6)))</formula>
    </cfRule>
  </conditionalFormatting>
  <conditionalFormatting sqref="N6:N7 N9:N35 O9:O14">
    <cfRule type="cellIs" dxfId="802" priority="45" operator="equal">
      <formula>0</formula>
    </cfRule>
  </conditionalFormatting>
  <conditionalFormatting sqref="N8">
    <cfRule type="cellIs" dxfId="801" priority="41" operator="equal">
      <formula>0</formula>
    </cfRule>
    <cfRule type="cellIs" dxfId="800" priority="42" operator="equal">
      <formula>"B"</formula>
    </cfRule>
    <cfRule type="cellIs" dxfId="799" priority="43" operator="equal">
      <formula>"M"</formula>
    </cfRule>
    <cfRule type="cellIs" dxfId="798" priority="44" operator="equal">
      <formula>"NB"</formula>
    </cfRule>
  </conditionalFormatting>
  <conditionalFormatting sqref="P6:Q7 P9:Q35 R9:S14">
    <cfRule type="containsText" dxfId="797" priority="38" operator="containsText" text="NB">
      <formula>NOT(ISERROR(SEARCH("NB",P6)))</formula>
    </cfRule>
    <cfRule type="containsText" dxfId="796" priority="39" operator="containsText" text="M">
      <formula>NOT(ISERROR(SEARCH("M",P6)))</formula>
    </cfRule>
    <cfRule type="containsText" dxfId="795" priority="40" operator="containsText" text="B">
      <formula>NOT(ISERROR(SEARCH("B",P6)))</formula>
    </cfRule>
  </conditionalFormatting>
  <conditionalFormatting sqref="P6:Q7 P9:Q35 R9:S14">
    <cfRule type="cellIs" dxfId="794" priority="37" operator="equal">
      <formula>0</formula>
    </cfRule>
  </conditionalFormatting>
  <conditionalFormatting sqref="P8:Q8">
    <cfRule type="cellIs" dxfId="793" priority="33" operator="equal">
      <formula>0</formula>
    </cfRule>
    <cfRule type="cellIs" dxfId="792" priority="34" operator="equal">
      <formula>"B"</formula>
    </cfRule>
    <cfRule type="cellIs" dxfId="791" priority="35" operator="equal">
      <formula>"M"</formula>
    </cfRule>
    <cfRule type="cellIs" dxfId="790" priority="36" operator="equal">
      <formula>"NB"</formula>
    </cfRule>
  </conditionalFormatting>
  <conditionalFormatting sqref="U9:U35 U6:U7">
    <cfRule type="containsText" dxfId="789" priority="30" operator="containsText" text="NB">
      <formula>NOT(ISERROR(SEARCH("NB",U6)))</formula>
    </cfRule>
    <cfRule type="containsText" dxfId="788" priority="31" operator="containsText" text="M">
      <formula>NOT(ISERROR(SEARCH("M",U6)))</formula>
    </cfRule>
    <cfRule type="containsText" dxfId="787" priority="32" operator="containsText" text="B">
      <formula>NOT(ISERROR(SEARCH("B",U6)))</formula>
    </cfRule>
  </conditionalFormatting>
  <conditionalFormatting sqref="U9:U35 U6:U7">
    <cfRule type="cellIs" dxfId="786" priority="29" operator="equal">
      <formula>0</formula>
    </cfRule>
  </conditionalFormatting>
  <conditionalFormatting sqref="U8">
    <cfRule type="cellIs" dxfId="785" priority="25" operator="equal">
      <formula>0</formula>
    </cfRule>
    <cfRule type="cellIs" dxfId="784" priority="26" operator="equal">
      <formula>"B"</formula>
    </cfRule>
    <cfRule type="cellIs" dxfId="783" priority="27" operator="equal">
      <formula>"M"</formula>
    </cfRule>
    <cfRule type="cellIs" dxfId="782" priority="28" operator="equal">
      <formula>"NB"</formula>
    </cfRule>
  </conditionalFormatting>
  <conditionalFormatting sqref="V9:V35 V6:V7">
    <cfRule type="containsText" dxfId="781" priority="22" operator="containsText" text="NB">
      <formula>NOT(ISERROR(SEARCH("NB",V6)))</formula>
    </cfRule>
    <cfRule type="containsText" dxfId="780" priority="23" operator="containsText" text="M">
      <formula>NOT(ISERROR(SEARCH("M",V6)))</formula>
    </cfRule>
    <cfRule type="containsText" dxfId="779" priority="24" operator="containsText" text="B">
      <formula>NOT(ISERROR(SEARCH("B",V6)))</formula>
    </cfRule>
  </conditionalFormatting>
  <conditionalFormatting sqref="V9:V35 V6:V7">
    <cfRule type="cellIs" dxfId="778" priority="21" operator="equal">
      <formula>0</formula>
    </cfRule>
  </conditionalFormatting>
  <conditionalFormatting sqref="V8">
    <cfRule type="cellIs" dxfId="777" priority="17" operator="equal">
      <formula>0</formula>
    </cfRule>
    <cfRule type="cellIs" dxfId="776" priority="18" operator="equal">
      <formula>"B"</formula>
    </cfRule>
    <cfRule type="cellIs" dxfId="775" priority="19" operator="equal">
      <formula>"M"</formula>
    </cfRule>
    <cfRule type="cellIs" dxfId="774" priority="20" operator="equal">
      <formula>"NB"</formula>
    </cfRule>
  </conditionalFormatting>
  <conditionalFormatting sqref="W9:Y35 Z23:AA26 W6:Z7 Z9:Z22 Z27:Z35">
    <cfRule type="containsText" dxfId="773" priority="14" operator="containsText" text="NB">
      <formula>NOT(ISERROR(SEARCH("NB",W6)))</formula>
    </cfRule>
    <cfRule type="containsText" dxfId="772" priority="15" operator="containsText" text="M">
      <formula>NOT(ISERROR(SEARCH("M",W6)))</formula>
    </cfRule>
    <cfRule type="containsText" dxfId="771" priority="16" operator="containsText" text="B">
      <formula>NOT(ISERROR(SEARCH("B",W6)))</formula>
    </cfRule>
  </conditionalFormatting>
  <conditionalFormatting sqref="W9:Y35 Z23:AA26 W6:Z7 Z9:Z22 Z27:Z35">
    <cfRule type="cellIs" dxfId="770" priority="13" operator="equal">
      <formula>0</formula>
    </cfRule>
  </conditionalFormatting>
  <conditionalFormatting sqref="W8:Y8">
    <cfRule type="cellIs" dxfId="769" priority="9" operator="equal">
      <formula>0</formula>
    </cfRule>
    <cfRule type="cellIs" dxfId="768" priority="10" operator="equal">
      <formula>"B"</formula>
    </cfRule>
    <cfRule type="cellIs" dxfId="767" priority="11" operator="equal">
      <formula>"M"</formula>
    </cfRule>
    <cfRule type="cellIs" dxfId="766" priority="12" operator="equal">
      <formula>"NB"</formula>
    </cfRule>
  </conditionalFormatting>
  <conditionalFormatting sqref="AC6:AE7 AC9:AE35 AF9:AH17">
    <cfRule type="containsText" dxfId="765" priority="6" operator="containsText" text="NB">
      <formula>NOT(ISERROR(SEARCH("NB",AC6)))</formula>
    </cfRule>
    <cfRule type="containsText" dxfId="764" priority="7" operator="containsText" text="M">
      <formula>NOT(ISERROR(SEARCH("M",AC6)))</formula>
    </cfRule>
    <cfRule type="containsText" dxfId="763" priority="8" operator="containsText" text="B">
      <formula>NOT(ISERROR(SEARCH("B",AC6)))</formula>
    </cfRule>
  </conditionalFormatting>
  <conditionalFormatting sqref="AC6:AE7 AC9:AE35 AF9:AH17">
    <cfRule type="cellIs" dxfId="762" priority="5" operator="equal">
      <formula>0</formula>
    </cfRule>
  </conditionalFormatting>
  <conditionalFormatting sqref="AC8:AD8">
    <cfRule type="cellIs" dxfId="761" priority="1" operator="equal">
      <formula>0</formula>
    </cfRule>
    <cfRule type="cellIs" dxfId="760" priority="2" operator="equal">
      <formula>"B"</formula>
    </cfRule>
    <cfRule type="cellIs" dxfId="759" priority="3" operator="equal">
      <formula>"M"</formula>
    </cfRule>
    <cfRule type="cellIs" dxfId="758" priority="4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109</v>
      </c>
    </row>
    <row r="4" spans="1:44" s="5" customFormat="1" ht="15.75" customHeight="1" thickBot="1" x14ac:dyDescent="0.3">
      <c r="C4" s="6"/>
      <c r="G4" s="6"/>
      <c r="H4" s="5" t="s">
        <v>3</v>
      </c>
      <c r="I4" s="92" t="s">
        <v>3</v>
      </c>
      <c r="J4" s="5" t="s">
        <v>4</v>
      </c>
      <c r="M4" s="6"/>
      <c r="O4" s="5" t="s">
        <v>3</v>
      </c>
      <c r="P4" s="5" t="s">
        <v>3</v>
      </c>
      <c r="V4" s="5" t="s">
        <v>3</v>
      </c>
      <c r="W4" s="5" t="s">
        <v>3</v>
      </c>
      <c r="AC4" s="5" t="s">
        <v>3</v>
      </c>
      <c r="AD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41" t="s">
        <v>7</v>
      </c>
      <c r="B6" s="142"/>
      <c r="C6" s="143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12</v>
      </c>
      <c r="K6" s="72" t="s">
        <v>12</v>
      </c>
      <c r="L6" s="72" t="s">
        <v>12</v>
      </c>
      <c r="M6" s="72" t="s">
        <v>12</v>
      </c>
      <c r="N6" s="72" t="s">
        <v>12</v>
      </c>
      <c r="O6" s="72" t="s">
        <v>12</v>
      </c>
      <c r="P6" s="72" t="s">
        <v>12</v>
      </c>
      <c r="Q6" s="72" t="s">
        <v>12</v>
      </c>
      <c r="R6" s="72" t="s">
        <v>12</v>
      </c>
      <c r="S6" s="72" t="s">
        <v>12</v>
      </c>
      <c r="T6" s="72" t="s">
        <v>22</v>
      </c>
      <c r="U6" s="72" t="s">
        <v>22</v>
      </c>
      <c r="V6" s="72" t="s">
        <v>22</v>
      </c>
      <c r="W6" s="72" t="s">
        <v>22</v>
      </c>
      <c r="X6" s="72" t="s">
        <v>22</v>
      </c>
      <c r="Y6" s="72" t="s">
        <v>22</v>
      </c>
      <c r="Z6" s="72" t="s">
        <v>22</v>
      </c>
      <c r="AA6" s="72" t="s">
        <v>22</v>
      </c>
      <c r="AB6" s="72" t="s">
        <v>22</v>
      </c>
      <c r="AC6" s="72" t="s">
        <v>12</v>
      </c>
      <c r="AD6" s="72" t="s">
        <v>12</v>
      </c>
      <c r="AE6" s="72" t="s">
        <v>12</v>
      </c>
      <c r="AF6" s="72" t="s">
        <v>12</v>
      </c>
      <c r="AG6" s="72" t="s">
        <v>12</v>
      </c>
      <c r="AH6" s="13">
        <f t="shared" ref="AH6:AH35" si="0">IF(COUNTA(D6:AG6)&gt;0,(COUNTA(D6:AG6)-COUNTIF(D6:AG6,"NB")-COUNTIF(D6:AG6,"DN")-COUNTIF(D6:AG6,"An")-COUNTIF(D6:AG6,"NB^")-COUNTIF(D6:AG6,0))/COUNTA(D6:AG6),"")</f>
        <v>0.3</v>
      </c>
      <c r="AI6"/>
    </row>
    <row r="7" spans="1:44" ht="15.75" customHeight="1" x14ac:dyDescent="0.25">
      <c r="A7" s="138" t="s">
        <v>10</v>
      </c>
      <c r="B7" s="139"/>
      <c r="C7" s="140"/>
      <c r="D7" s="14" t="s">
        <v>12</v>
      </c>
      <c r="E7" s="14" t="s">
        <v>12</v>
      </c>
      <c r="F7" s="14" t="s">
        <v>12</v>
      </c>
      <c r="G7" s="14" t="s">
        <v>12</v>
      </c>
      <c r="H7" s="14" t="s">
        <v>12</v>
      </c>
      <c r="I7" s="14" t="s">
        <v>12</v>
      </c>
      <c r="J7" s="14" t="s">
        <v>12</v>
      </c>
      <c r="K7" s="14" t="s">
        <v>12</v>
      </c>
      <c r="L7" s="14" t="s">
        <v>12</v>
      </c>
      <c r="M7" s="73" t="s">
        <v>12</v>
      </c>
      <c r="N7" s="73" t="s">
        <v>12</v>
      </c>
      <c r="O7" s="73" t="s">
        <v>12</v>
      </c>
      <c r="P7" s="73" t="s">
        <v>12</v>
      </c>
      <c r="Q7" s="73" t="s">
        <v>12</v>
      </c>
      <c r="R7" s="14" t="s">
        <v>12</v>
      </c>
      <c r="S7" s="14" t="s">
        <v>12</v>
      </c>
      <c r="T7" s="14" t="s">
        <v>22</v>
      </c>
      <c r="U7" s="14" t="s">
        <v>22</v>
      </c>
      <c r="V7" s="14" t="s">
        <v>22</v>
      </c>
      <c r="W7" s="14" t="s">
        <v>22</v>
      </c>
      <c r="X7" s="14" t="s">
        <v>22</v>
      </c>
      <c r="Y7" s="14" t="s">
        <v>22</v>
      </c>
      <c r="Z7" s="14" t="s">
        <v>22</v>
      </c>
      <c r="AA7" s="14" t="s">
        <v>22</v>
      </c>
      <c r="AB7" s="14" t="s">
        <v>22</v>
      </c>
      <c r="AC7" s="14" t="s">
        <v>12</v>
      </c>
      <c r="AD7" s="14" t="s">
        <v>12</v>
      </c>
      <c r="AE7" s="14" t="s">
        <v>12</v>
      </c>
      <c r="AF7" s="14" t="s">
        <v>12</v>
      </c>
      <c r="AG7" s="14" t="s">
        <v>12</v>
      </c>
      <c r="AH7" s="17">
        <f t="shared" si="0"/>
        <v>0.3</v>
      </c>
      <c r="AI7"/>
    </row>
    <row r="8" spans="1:44" ht="15.75" customHeight="1" x14ac:dyDescent="0.25">
      <c r="A8" s="144" t="s">
        <v>94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9">
        <f t="shared" si="0"/>
        <v>0</v>
      </c>
      <c r="AI8"/>
    </row>
    <row r="9" spans="1:44" ht="15.75" customHeight="1" x14ac:dyDescent="0.25">
      <c r="A9" s="147" t="s">
        <v>13</v>
      </c>
      <c r="B9" s="148"/>
      <c r="C9" s="149"/>
      <c r="D9" s="79" t="s">
        <v>12</v>
      </c>
      <c r="E9" s="79" t="s">
        <v>12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12</v>
      </c>
      <c r="K9" s="79" t="s">
        <v>12</v>
      </c>
      <c r="L9" s="79" t="s">
        <v>12</v>
      </c>
      <c r="M9" s="20" t="s">
        <v>12</v>
      </c>
      <c r="N9" s="20" t="s">
        <v>12</v>
      </c>
      <c r="O9" s="20" t="s">
        <v>12</v>
      </c>
      <c r="P9" s="20" t="s">
        <v>12</v>
      </c>
      <c r="Q9" s="20" t="s">
        <v>12</v>
      </c>
      <c r="R9" s="20" t="s">
        <v>12</v>
      </c>
      <c r="S9" s="20" t="s">
        <v>12</v>
      </c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12</v>
      </c>
      <c r="Z9" s="20" t="s">
        <v>12</v>
      </c>
      <c r="AA9" s="20" t="s">
        <v>12</v>
      </c>
      <c r="AB9" s="20" t="s">
        <v>12</v>
      </c>
      <c r="AC9" s="79" t="s">
        <v>12</v>
      </c>
      <c r="AD9" s="79" t="s">
        <v>12</v>
      </c>
      <c r="AE9" s="79" t="s">
        <v>12</v>
      </c>
      <c r="AF9" s="79" t="s">
        <v>12</v>
      </c>
      <c r="AG9" s="79" t="s">
        <v>12</v>
      </c>
      <c r="AH9" s="13">
        <f t="shared" si="0"/>
        <v>0</v>
      </c>
      <c r="AI9"/>
    </row>
    <row r="10" spans="1:44" ht="15.75" customHeight="1" x14ac:dyDescent="0.25">
      <c r="A10" s="150" t="s">
        <v>14</v>
      </c>
      <c r="B10" s="151"/>
      <c r="C10" s="152"/>
      <c r="D10" s="80" t="s">
        <v>12</v>
      </c>
      <c r="E10" s="80" t="s">
        <v>12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12</v>
      </c>
      <c r="K10" s="80" t="s">
        <v>12</v>
      </c>
      <c r="L10" s="80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80" t="s">
        <v>12</v>
      </c>
      <c r="AD10" s="80" t="s">
        <v>12</v>
      </c>
      <c r="AE10" s="80" t="s">
        <v>12</v>
      </c>
      <c r="AF10" s="80" t="s">
        <v>12</v>
      </c>
      <c r="AG10" s="80" t="s">
        <v>12</v>
      </c>
      <c r="AH10" s="21">
        <f t="shared" si="0"/>
        <v>0</v>
      </c>
      <c r="AI10"/>
    </row>
    <row r="11" spans="1:44" ht="15.75" customHeight="1" x14ac:dyDescent="0.25">
      <c r="A11" s="150" t="s">
        <v>15</v>
      </c>
      <c r="B11" s="151"/>
      <c r="C11" s="152"/>
      <c r="D11" s="80" t="s">
        <v>12</v>
      </c>
      <c r="E11" s="80" t="s">
        <v>12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12</v>
      </c>
      <c r="K11" s="80" t="s">
        <v>12</v>
      </c>
      <c r="L11" s="80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80" t="s">
        <v>12</v>
      </c>
      <c r="AD11" s="80" t="s">
        <v>12</v>
      </c>
      <c r="AE11" s="80" t="s">
        <v>12</v>
      </c>
      <c r="AF11" s="80" t="s">
        <v>12</v>
      </c>
      <c r="AG11" s="80" t="s">
        <v>12</v>
      </c>
      <c r="AH11" s="21">
        <f t="shared" si="0"/>
        <v>0</v>
      </c>
      <c r="AI11"/>
    </row>
    <row r="12" spans="1:44" ht="15.75" customHeight="1" x14ac:dyDescent="0.25">
      <c r="A12" s="150" t="s">
        <v>16</v>
      </c>
      <c r="B12" s="151"/>
      <c r="C12" s="152"/>
      <c r="D12" s="80" t="s">
        <v>12</v>
      </c>
      <c r="E12" s="80" t="s">
        <v>12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12</v>
      </c>
      <c r="K12" s="80" t="s">
        <v>12</v>
      </c>
      <c r="L12" s="80" t="s">
        <v>12</v>
      </c>
      <c r="M12" s="16" t="s">
        <v>12</v>
      </c>
      <c r="N12" s="16" t="s">
        <v>12</v>
      </c>
      <c r="O12" s="16" t="s">
        <v>12</v>
      </c>
      <c r="P12" s="16" t="s">
        <v>12</v>
      </c>
      <c r="Q12" s="16" t="s">
        <v>12</v>
      </c>
      <c r="R12" s="16" t="s">
        <v>12</v>
      </c>
      <c r="S12" s="16" t="s">
        <v>12</v>
      </c>
      <c r="T12" s="16" t="s">
        <v>12</v>
      </c>
      <c r="U12" s="16" t="s">
        <v>12</v>
      </c>
      <c r="V12" s="16" t="s">
        <v>12</v>
      </c>
      <c r="W12" s="16" t="s">
        <v>12</v>
      </c>
      <c r="X12" s="16" t="s">
        <v>12</v>
      </c>
      <c r="Y12" s="16" t="s">
        <v>12</v>
      </c>
      <c r="Z12" s="16" t="s">
        <v>12</v>
      </c>
      <c r="AA12" s="16" t="s">
        <v>12</v>
      </c>
      <c r="AB12" s="16" t="s">
        <v>12</v>
      </c>
      <c r="AC12" s="80" t="s">
        <v>12</v>
      </c>
      <c r="AD12" s="80" t="s">
        <v>12</v>
      </c>
      <c r="AE12" s="80" t="s">
        <v>12</v>
      </c>
      <c r="AF12" s="80" t="s">
        <v>12</v>
      </c>
      <c r="AG12" s="80" t="s">
        <v>12</v>
      </c>
      <c r="AH12" s="21">
        <f t="shared" si="0"/>
        <v>0</v>
      </c>
      <c r="AI12"/>
    </row>
    <row r="13" spans="1:44" ht="15.75" customHeight="1" x14ac:dyDescent="0.25">
      <c r="A13" s="150" t="s">
        <v>17</v>
      </c>
      <c r="B13" s="151"/>
      <c r="C13" s="152"/>
      <c r="D13" s="80" t="s">
        <v>12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12</v>
      </c>
      <c r="K13" s="80" t="s">
        <v>12</v>
      </c>
      <c r="L13" s="80" t="s">
        <v>12</v>
      </c>
      <c r="M13" s="16" t="s">
        <v>12</v>
      </c>
      <c r="N13" s="16" t="s">
        <v>12</v>
      </c>
      <c r="O13" s="16" t="s">
        <v>12</v>
      </c>
      <c r="P13" s="16" t="s">
        <v>12</v>
      </c>
      <c r="Q13" s="16" t="s">
        <v>12</v>
      </c>
      <c r="R13" s="16" t="s">
        <v>12</v>
      </c>
      <c r="S13" s="16" t="s">
        <v>12</v>
      </c>
      <c r="T13" s="16" t="s">
        <v>12</v>
      </c>
      <c r="U13" s="16" t="s">
        <v>12</v>
      </c>
      <c r="V13" s="16" t="s">
        <v>12</v>
      </c>
      <c r="W13" s="16" t="s">
        <v>12</v>
      </c>
      <c r="X13" s="16" t="s">
        <v>12</v>
      </c>
      <c r="Y13" s="16" t="s">
        <v>12</v>
      </c>
      <c r="Z13" s="16" t="s">
        <v>12</v>
      </c>
      <c r="AA13" s="16" t="s">
        <v>12</v>
      </c>
      <c r="AB13" s="16" t="s">
        <v>12</v>
      </c>
      <c r="AC13" s="80" t="s">
        <v>12</v>
      </c>
      <c r="AD13" s="80" t="s">
        <v>12</v>
      </c>
      <c r="AE13" s="80" t="s">
        <v>12</v>
      </c>
      <c r="AF13" s="80" t="s">
        <v>12</v>
      </c>
      <c r="AG13" s="80" t="s">
        <v>12</v>
      </c>
      <c r="AH13" s="21">
        <f t="shared" si="0"/>
        <v>0</v>
      </c>
      <c r="AI13"/>
    </row>
    <row r="14" spans="1:44" ht="15.75" customHeight="1" x14ac:dyDescent="0.25">
      <c r="A14" s="138" t="s">
        <v>18</v>
      </c>
      <c r="B14" s="139"/>
      <c r="C14" s="140"/>
      <c r="D14" s="73" t="s">
        <v>12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12</v>
      </c>
      <c r="K14" s="73" t="s">
        <v>12</v>
      </c>
      <c r="L14" s="73" t="s">
        <v>12</v>
      </c>
      <c r="M14" s="73" t="s">
        <v>12</v>
      </c>
      <c r="N14" s="73" t="s">
        <v>12</v>
      </c>
      <c r="O14" s="73" t="s">
        <v>12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12</v>
      </c>
      <c r="U14" s="73" t="s">
        <v>12</v>
      </c>
      <c r="V14" s="73" t="s">
        <v>12</v>
      </c>
      <c r="W14" s="73" t="s">
        <v>12</v>
      </c>
      <c r="X14" s="73" t="s">
        <v>12</v>
      </c>
      <c r="Y14" s="73" t="s">
        <v>12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12</v>
      </c>
      <c r="AE14" s="73" t="s">
        <v>12</v>
      </c>
      <c r="AF14" s="73" t="s">
        <v>12</v>
      </c>
      <c r="AG14" s="73" t="s">
        <v>12</v>
      </c>
      <c r="AH14" s="17">
        <f t="shared" si="0"/>
        <v>0</v>
      </c>
      <c r="AI14"/>
    </row>
    <row r="15" spans="1:44" ht="15.75" customHeight="1" x14ac:dyDescent="0.25">
      <c r="A15" s="147" t="s">
        <v>19</v>
      </c>
      <c r="B15" s="148"/>
      <c r="C15" s="149"/>
      <c r="D15" s="20" t="s">
        <v>12</v>
      </c>
      <c r="E15" s="20" t="s">
        <v>12</v>
      </c>
      <c r="F15" s="20" t="s">
        <v>12</v>
      </c>
      <c r="G15" s="20" t="s">
        <v>12</v>
      </c>
      <c r="H15" s="20" t="s">
        <v>12</v>
      </c>
      <c r="I15" s="20" t="s">
        <v>12</v>
      </c>
      <c r="J15" s="20" t="s">
        <v>12</v>
      </c>
      <c r="K15" s="20" t="s">
        <v>12</v>
      </c>
      <c r="L15" s="20" t="s">
        <v>12</v>
      </c>
      <c r="M15" s="20" t="s">
        <v>12</v>
      </c>
      <c r="N15" s="20" t="s">
        <v>12</v>
      </c>
      <c r="O15" s="20" t="s">
        <v>12</v>
      </c>
      <c r="P15" s="20" t="s">
        <v>12</v>
      </c>
      <c r="Q15" s="20" t="s">
        <v>12</v>
      </c>
      <c r="R15" s="20" t="s">
        <v>12</v>
      </c>
      <c r="S15" s="20" t="s">
        <v>12</v>
      </c>
      <c r="T15" s="20" t="s">
        <v>12</v>
      </c>
      <c r="U15" s="20" t="s">
        <v>22</v>
      </c>
      <c r="V15" s="20" t="s">
        <v>22</v>
      </c>
      <c r="W15" s="20" t="s">
        <v>12</v>
      </c>
      <c r="X15" s="20" t="s">
        <v>12</v>
      </c>
      <c r="Y15" s="20" t="s">
        <v>12</v>
      </c>
      <c r="Z15" s="20" t="s">
        <v>12</v>
      </c>
      <c r="AA15" s="20" t="s">
        <v>12</v>
      </c>
      <c r="AB15" s="20" t="s">
        <v>12</v>
      </c>
      <c r="AC15" s="20" t="s">
        <v>12</v>
      </c>
      <c r="AD15" s="20" t="s">
        <v>12</v>
      </c>
      <c r="AE15" s="20" t="s">
        <v>12</v>
      </c>
      <c r="AF15" s="20" t="s">
        <v>12</v>
      </c>
      <c r="AG15" s="20" t="s">
        <v>12</v>
      </c>
      <c r="AH15" s="13">
        <f t="shared" si="0"/>
        <v>6.6666666666666666E-2</v>
      </c>
      <c r="AI15"/>
    </row>
    <row r="16" spans="1:44" ht="15.75" customHeight="1" x14ac:dyDescent="0.25">
      <c r="A16" s="150" t="s">
        <v>20</v>
      </c>
      <c r="B16" s="151"/>
      <c r="C16" s="152"/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 t="s">
        <v>12</v>
      </c>
      <c r="M16" s="16" t="s">
        <v>12</v>
      </c>
      <c r="N16" s="16" t="s">
        <v>12</v>
      </c>
      <c r="O16" s="16" t="s">
        <v>12</v>
      </c>
      <c r="P16" s="16" t="s">
        <v>12</v>
      </c>
      <c r="Q16" s="16" t="s">
        <v>12</v>
      </c>
      <c r="R16" s="16" t="s">
        <v>12</v>
      </c>
      <c r="S16" s="16" t="s">
        <v>12</v>
      </c>
      <c r="T16" s="16" t="s">
        <v>12</v>
      </c>
      <c r="U16" s="16" t="s">
        <v>22</v>
      </c>
      <c r="V16" s="16" t="s">
        <v>22</v>
      </c>
      <c r="W16" s="16" t="s">
        <v>12</v>
      </c>
      <c r="X16" s="16" t="s">
        <v>12</v>
      </c>
      <c r="Y16" s="16" t="s">
        <v>12</v>
      </c>
      <c r="Z16" s="16" t="s">
        <v>12</v>
      </c>
      <c r="AA16" s="16" t="s">
        <v>12</v>
      </c>
      <c r="AB16" s="16" t="s">
        <v>12</v>
      </c>
      <c r="AC16" s="16" t="s">
        <v>12</v>
      </c>
      <c r="AD16" s="16" t="s">
        <v>12</v>
      </c>
      <c r="AE16" s="16" t="s">
        <v>12</v>
      </c>
      <c r="AF16" s="16" t="s">
        <v>12</v>
      </c>
      <c r="AG16" s="16" t="s">
        <v>12</v>
      </c>
      <c r="AH16" s="21">
        <f t="shared" si="0"/>
        <v>6.6666666666666666E-2</v>
      </c>
      <c r="AI16"/>
    </row>
    <row r="17" spans="1:35" ht="15.75" customHeight="1" x14ac:dyDescent="0.25">
      <c r="A17" s="138" t="s">
        <v>92</v>
      </c>
      <c r="B17" s="139"/>
      <c r="C17" s="140"/>
      <c r="D17" s="16" t="s">
        <v>12</v>
      </c>
      <c r="E17" s="16" t="s">
        <v>12</v>
      </c>
      <c r="F17" s="16" t="s">
        <v>12</v>
      </c>
      <c r="G17" s="16" t="s">
        <v>12</v>
      </c>
      <c r="H17" s="16" t="s">
        <v>12</v>
      </c>
      <c r="I17" s="16" t="s">
        <v>12</v>
      </c>
      <c r="J17" s="16" t="s">
        <v>12</v>
      </c>
      <c r="K17" s="16" t="s">
        <v>12</v>
      </c>
      <c r="L17" s="16" t="s">
        <v>12</v>
      </c>
      <c r="M17" s="16" t="s">
        <v>12</v>
      </c>
      <c r="N17" s="16" t="s">
        <v>12</v>
      </c>
      <c r="O17" s="16" t="s">
        <v>12</v>
      </c>
      <c r="P17" s="16" t="s">
        <v>12</v>
      </c>
      <c r="Q17" s="16" t="s">
        <v>12</v>
      </c>
      <c r="R17" s="16" t="s">
        <v>12</v>
      </c>
      <c r="S17" s="16" t="s">
        <v>12</v>
      </c>
      <c r="T17" s="16" t="s">
        <v>12</v>
      </c>
      <c r="U17" s="16" t="s">
        <v>22</v>
      </c>
      <c r="V17" s="16" t="s">
        <v>22</v>
      </c>
      <c r="W17" s="16" t="s">
        <v>12</v>
      </c>
      <c r="X17" s="16" t="s">
        <v>12</v>
      </c>
      <c r="Y17" s="16" t="s">
        <v>12</v>
      </c>
      <c r="Z17" s="16" t="s">
        <v>12</v>
      </c>
      <c r="AA17" s="16" t="s">
        <v>12</v>
      </c>
      <c r="AB17" s="16" t="s">
        <v>12</v>
      </c>
      <c r="AC17" s="16" t="s">
        <v>12</v>
      </c>
      <c r="AD17" s="16" t="s">
        <v>12</v>
      </c>
      <c r="AE17" s="16" t="s">
        <v>12</v>
      </c>
      <c r="AF17" s="16" t="s">
        <v>12</v>
      </c>
      <c r="AG17" s="16" t="s">
        <v>12</v>
      </c>
      <c r="AH17" s="17">
        <f t="shared" si="0"/>
        <v>6.6666666666666666E-2</v>
      </c>
      <c r="AI17"/>
    </row>
    <row r="18" spans="1:35" ht="15.75" customHeight="1" x14ac:dyDescent="0.25">
      <c r="A18" s="147" t="s">
        <v>21</v>
      </c>
      <c r="B18" s="148"/>
      <c r="C18" s="149"/>
      <c r="D18" s="22" t="s">
        <v>22</v>
      </c>
      <c r="E18" s="22" t="s">
        <v>12</v>
      </c>
      <c r="F18" s="22" t="s">
        <v>12</v>
      </c>
      <c r="G18" s="22" t="s">
        <v>12</v>
      </c>
      <c r="H18" s="22" t="s">
        <v>12</v>
      </c>
      <c r="I18" s="22" t="s">
        <v>12</v>
      </c>
      <c r="J18" s="22" t="s">
        <v>12</v>
      </c>
      <c r="K18" s="22" t="s">
        <v>12</v>
      </c>
      <c r="L18" s="22" t="s">
        <v>12</v>
      </c>
      <c r="M18" s="20" t="s">
        <v>12</v>
      </c>
      <c r="N18" s="20" t="s">
        <v>12</v>
      </c>
      <c r="O18" s="20" t="s">
        <v>12</v>
      </c>
      <c r="P18" s="20" t="s">
        <v>12</v>
      </c>
      <c r="Q18" s="20" t="s">
        <v>12</v>
      </c>
      <c r="R18" s="22" t="s">
        <v>12</v>
      </c>
      <c r="S18" s="22" t="s">
        <v>12</v>
      </c>
      <c r="T18" s="22" t="s">
        <v>12</v>
      </c>
      <c r="U18" s="22" t="s">
        <v>22</v>
      </c>
      <c r="V18" s="22" t="s">
        <v>22</v>
      </c>
      <c r="W18" s="22" t="s">
        <v>22</v>
      </c>
      <c r="X18" s="22" t="s">
        <v>22</v>
      </c>
      <c r="Y18" s="22" t="s">
        <v>22</v>
      </c>
      <c r="Z18" s="22" t="s">
        <v>22</v>
      </c>
      <c r="AA18" s="22" t="s">
        <v>22</v>
      </c>
      <c r="AB18" s="22" t="s">
        <v>22</v>
      </c>
      <c r="AC18" s="22" t="s">
        <v>12</v>
      </c>
      <c r="AD18" s="22" t="s">
        <v>12</v>
      </c>
      <c r="AE18" s="22" t="s">
        <v>12</v>
      </c>
      <c r="AF18" s="22" t="s">
        <v>12</v>
      </c>
      <c r="AG18" s="22" t="s">
        <v>12</v>
      </c>
      <c r="AH18" s="13">
        <f t="shared" si="0"/>
        <v>0.3</v>
      </c>
      <c r="AI18"/>
    </row>
    <row r="19" spans="1:35" ht="15.75" customHeight="1" x14ac:dyDescent="0.25">
      <c r="A19" s="150" t="s">
        <v>23</v>
      </c>
      <c r="B19" s="151"/>
      <c r="C19" s="152"/>
      <c r="D19" s="23" t="s">
        <v>22</v>
      </c>
      <c r="E19" s="23" t="s">
        <v>12</v>
      </c>
      <c r="F19" s="23" t="s">
        <v>12</v>
      </c>
      <c r="G19" s="23" t="s">
        <v>12</v>
      </c>
      <c r="H19" s="23" t="s">
        <v>12</v>
      </c>
      <c r="I19" s="23" t="s">
        <v>12</v>
      </c>
      <c r="J19" s="23" t="s">
        <v>12</v>
      </c>
      <c r="K19" s="23" t="s">
        <v>12</v>
      </c>
      <c r="L19" s="23" t="s">
        <v>12</v>
      </c>
      <c r="M19" s="16" t="s">
        <v>12</v>
      </c>
      <c r="N19" s="16" t="s">
        <v>12</v>
      </c>
      <c r="O19" s="16" t="s">
        <v>12</v>
      </c>
      <c r="P19" s="16" t="s">
        <v>12</v>
      </c>
      <c r="Q19" s="16" t="s">
        <v>12</v>
      </c>
      <c r="R19" s="23" t="s">
        <v>12</v>
      </c>
      <c r="S19" s="23" t="s">
        <v>12</v>
      </c>
      <c r="T19" s="23" t="s">
        <v>12</v>
      </c>
      <c r="U19" s="23" t="s">
        <v>22</v>
      </c>
      <c r="V19" s="23" t="s">
        <v>22</v>
      </c>
      <c r="W19" s="23" t="s">
        <v>22</v>
      </c>
      <c r="X19" s="23" t="s">
        <v>22</v>
      </c>
      <c r="Y19" s="23" t="s">
        <v>22</v>
      </c>
      <c r="Z19" s="23" t="s">
        <v>22</v>
      </c>
      <c r="AA19" s="23" t="s">
        <v>22</v>
      </c>
      <c r="AB19" s="23" t="s">
        <v>22</v>
      </c>
      <c r="AC19" s="23" t="s">
        <v>12</v>
      </c>
      <c r="AD19" s="23" t="s">
        <v>12</v>
      </c>
      <c r="AE19" s="23" t="s">
        <v>12</v>
      </c>
      <c r="AF19" s="23" t="s">
        <v>12</v>
      </c>
      <c r="AG19" s="23" t="s">
        <v>12</v>
      </c>
      <c r="AH19" s="21">
        <f t="shared" si="0"/>
        <v>0.3</v>
      </c>
      <c r="AI19"/>
    </row>
    <row r="20" spans="1:35" ht="15.75" customHeight="1" x14ac:dyDescent="0.25">
      <c r="A20" s="150" t="s">
        <v>24</v>
      </c>
      <c r="B20" s="151"/>
      <c r="C20" s="152"/>
      <c r="D20" s="23" t="s">
        <v>22</v>
      </c>
      <c r="E20" s="23" t="s">
        <v>12</v>
      </c>
      <c r="F20" s="23" t="s">
        <v>12</v>
      </c>
      <c r="G20" s="23" t="s">
        <v>12</v>
      </c>
      <c r="H20" s="23" t="s">
        <v>12</v>
      </c>
      <c r="I20" s="23" t="s">
        <v>12</v>
      </c>
      <c r="J20" s="23" t="s">
        <v>12</v>
      </c>
      <c r="K20" s="23" t="s">
        <v>12</v>
      </c>
      <c r="L20" s="23" t="s">
        <v>12</v>
      </c>
      <c r="M20" s="80" t="s">
        <v>12</v>
      </c>
      <c r="N20" s="80" t="s">
        <v>12</v>
      </c>
      <c r="O20" s="80" t="s">
        <v>12</v>
      </c>
      <c r="P20" s="80" t="s">
        <v>12</v>
      </c>
      <c r="Q20" s="80" t="s">
        <v>12</v>
      </c>
      <c r="R20" s="23" t="s">
        <v>12</v>
      </c>
      <c r="S20" s="23" t="s">
        <v>12</v>
      </c>
      <c r="T20" s="23" t="s">
        <v>12</v>
      </c>
      <c r="U20" s="23" t="s">
        <v>22</v>
      </c>
      <c r="V20" s="23" t="s">
        <v>22</v>
      </c>
      <c r="W20" s="23" t="s">
        <v>22</v>
      </c>
      <c r="X20" s="23" t="s">
        <v>22</v>
      </c>
      <c r="Y20" s="23" t="s">
        <v>22</v>
      </c>
      <c r="Z20" s="23" t="s">
        <v>22</v>
      </c>
      <c r="AA20" s="23" t="s">
        <v>22</v>
      </c>
      <c r="AB20" s="23" t="s">
        <v>22</v>
      </c>
      <c r="AC20" s="23" t="s">
        <v>12</v>
      </c>
      <c r="AD20" s="23" t="s">
        <v>12</v>
      </c>
      <c r="AE20" s="23" t="s">
        <v>12</v>
      </c>
      <c r="AF20" s="23" t="s">
        <v>12</v>
      </c>
      <c r="AG20" s="23" t="s">
        <v>12</v>
      </c>
      <c r="AH20" s="21">
        <f t="shared" si="0"/>
        <v>0.3</v>
      </c>
      <c r="AI20"/>
    </row>
    <row r="21" spans="1:35" ht="15.75" customHeight="1" x14ac:dyDescent="0.25">
      <c r="A21" s="138" t="s">
        <v>25</v>
      </c>
      <c r="B21" s="139"/>
      <c r="C21" s="140"/>
      <c r="D21" s="14" t="s">
        <v>22</v>
      </c>
      <c r="E21" s="14" t="s">
        <v>12</v>
      </c>
      <c r="F21" s="14" t="s">
        <v>12</v>
      </c>
      <c r="G21" s="14" t="s">
        <v>12</v>
      </c>
      <c r="H21" s="14" t="s">
        <v>12</v>
      </c>
      <c r="I21" s="14" t="s">
        <v>12</v>
      </c>
      <c r="J21" s="14" t="s">
        <v>12</v>
      </c>
      <c r="K21" s="14" t="s">
        <v>12</v>
      </c>
      <c r="L21" s="14" t="s">
        <v>12</v>
      </c>
      <c r="M21" s="73" t="s">
        <v>12</v>
      </c>
      <c r="N21" s="73" t="s">
        <v>12</v>
      </c>
      <c r="O21" s="73" t="s">
        <v>12</v>
      </c>
      <c r="P21" s="73" t="s">
        <v>12</v>
      </c>
      <c r="Q21" s="73" t="s">
        <v>12</v>
      </c>
      <c r="R21" s="14" t="s">
        <v>12</v>
      </c>
      <c r="S21" s="14" t="s">
        <v>12</v>
      </c>
      <c r="T21" s="14" t="s">
        <v>12</v>
      </c>
      <c r="U21" s="14" t="s">
        <v>22</v>
      </c>
      <c r="V21" s="14" t="s">
        <v>22</v>
      </c>
      <c r="W21" s="14" t="s">
        <v>22</v>
      </c>
      <c r="X21" s="14" t="s">
        <v>22</v>
      </c>
      <c r="Y21" s="14" t="s">
        <v>22</v>
      </c>
      <c r="Z21" s="14" t="s">
        <v>22</v>
      </c>
      <c r="AA21" s="14" t="s">
        <v>22</v>
      </c>
      <c r="AB21" s="14" t="s">
        <v>22</v>
      </c>
      <c r="AC21" s="14" t="s">
        <v>12</v>
      </c>
      <c r="AD21" s="14" t="s">
        <v>12</v>
      </c>
      <c r="AE21" s="14" t="s">
        <v>12</v>
      </c>
      <c r="AF21" s="14" t="s">
        <v>12</v>
      </c>
      <c r="AG21" s="14" t="s">
        <v>12</v>
      </c>
      <c r="AH21" s="17">
        <f t="shared" si="0"/>
        <v>0.3</v>
      </c>
      <c r="AI21"/>
    </row>
    <row r="22" spans="1:35" ht="15.75" customHeight="1" x14ac:dyDescent="0.25">
      <c r="A22" s="144" t="s">
        <v>26</v>
      </c>
      <c r="B22" s="145"/>
      <c r="C22" s="146"/>
      <c r="D22" s="81" t="s">
        <v>22</v>
      </c>
      <c r="E22" s="81" t="s">
        <v>12</v>
      </c>
      <c r="F22" s="81" t="s">
        <v>12</v>
      </c>
      <c r="G22" s="81" t="s">
        <v>12</v>
      </c>
      <c r="H22" s="81" t="s">
        <v>12</v>
      </c>
      <c r="I22" s="81" t="s">
        <v>12</v>
      </c>
      <c r="J22" s="81" t="s">
        <v>12</v>
      </c>
      <c r="K22" s="81" t="s">
        <v>22</v>
      </c>
      <c r="L22" s="81" t="s">
        <v>22</v>
      </c>
      <c r="M22" s="81" t="s">
        <v>11</v>
      </c>
      <c r="N22" s="81" t="s">
        <v>12</v>
      </c>
      <c r="O22" s="81" t="s">
        <v>12</v>
      </c>
      <c r="P22" s="81" t="s">
        <v>12</v>
      </c>
      <c r="Q22" s="24" t="s">
        <v>12</v>
      </c>
      <c r="R22" s="24" t="s">
        <v>12</v>
      </c>
      <c r="S22" s="24" t="s">
        <v>12</v>
      </c>
      <c r="T22" s="24" t="s">
        <v>12</v>
      </c>
      <c r="U22" s="24" t="s">
        <v>12</v>
      </c>
      <c r="V22" s="24" t="s">
        <v>12</v>
      </c>
      <c r="W22" s="24" t="s">
        <v>12</v>
      </c>
      <c r="X22" s="24" t="s">
        <v>12</v>
      </c>
      <c r="Y22" s="24" t="s">
        <v>22</v>
      </c>
      <c r="Z22" s="24" t="s">
        <v>12</v>
      </c>
      <c r="AA22" s="24" t="s">
        <v>12</v>
      </c>
      <c r="AB22" s="24" t="s">
        <v>12</v>
      </c>
      <c r="AC22" s="24" t="s">
        <v>12</v>
      </c>
      <c r="AD22" s="24" t="s">
        <v>12</v>
      </c>
      <c r="AE22" s="24" t="s">
        <v>12</v>
      </c>
      <c r="AF22" s="24" t="s">
        <v>12</v>
      </c>
      <c r="AG22" s="24" t="s">
        <v>12</v>
      </c>
      <c r="AH22" s="19">
        <f t="shared" si="0"/>
        <v>0.16666666666666666</v>
      </c>
      <c r="AI22"/>
    </row>
    <row r="23" spans="1:35" ht="15.75" customHeight="1" x14ac:dyDescent="0.25">
      <c r="A23" s="147" t="s">
        <v>27</v>
      </c>
      <c r="B23" s="148"/>
      <c r="C23" s="149"/>
      <c r="D23" s="22" t="s">
        <v>11</v>
      </c>
      <c r="E23" s="22" t="s">
        <v>11</v>
      </c>
      <c r="F23" s="22" t="s">
        <v>11</v>
      </c>
      <c r="G23" s="20" t="s">
        <v>12</v>
      </c>
      <c r="H23" s="20" t="s">
        <v>12</v>
      </c>
      <c r="I23" s="20" t="s">
        <v>12</v>
      </c>
      <c r="J23" s="20" t="s">
        <v>12</v>
      </c>
      <c r="K23" s="20" t="s">
        <v>12</v>
      </c>
      <c r="L23" s="20" t="s">
        <v>12</v>
      </c>
      <c r="M23" s="20" t="s">
        <v>12</v>
      </c>
      <c r="N23" s="20" t="s">
        <v>12</v>
      </c>
      <c r="O23" s="20" t="s">
        <v>12</v>
      </c>
      <c r="P23" s="20" t="s">
        <v>12</v>
      </c>
      <c r="Q23" s="20" t="s">
        <v>12</v>
      </c>
      <c r="R23" s="79" t="s">
        <v>12</v>
      </c>
      <c r="S23" s="79" t="s">
        <v>12</v>
      </c>
      <c r="T23" s="79" t="s">
        <v>12</v>
      </c>
      <c r="U23" s="79" t="s">
        <v>12</v>
      </c>
      <c r="V23" s="79" t="s">
        <v>12</v>
      </c>
      <c r="W23" s="79" t="s">
        <v>12</v>
      </c>
      <c r="X23" s="79" t="s">
        <v>12</v>
      </c>
      <c r="Y23" s="79" t="s">
        <v>12</v>
      </c>
      <c r="Z23" s="79" t="s">
        <v>12</v>
      </c>
      <c r="AA23" s="79" t="s">
        <v>12</v>
      </c>
      <c r="AB23" s="79" t="s">
        <v>12</v>
      </c>
      <c r="AC23" s="79" t="s">
        <v>12</v>
      </c>
      <c r="AD23" s="79" t="s">
        <v>12</v>
      </c>
      <c r="AE23" s="79" t="s">
        <v>12</v>
      </c>
      <c r="AF23" s="79" t="s">
        <v>12</v>
      </c>
      <c r="AG23" s="79" t="s">
        <v>12</v>
      </c>
      <c r="AH23" s="13">
        <f t="shared" si="0"/>
        <v>0.1</v>
      </c>
      <c r="AI23"/>
    </row>
    <row r="24" spans="1:35" ht="15.75" customHeight="1" x14ac:dyDescent="0.25">
      <c r="A24" s="138" t="s">
        <v>28</v>
      </c>
      <c r="B24" s="139"/>
      <c r="C24" s="140"/>
      <c r="D24" s="14" t="s">
        <v>11</v>
      </c>
      <c r="E24" s="14" t="s">
        <v>11</v>
      </c>
      <c r="F24" s="14" t="s">
        <v>11</v>
      </c>
      <c r="G24" s="15" t="s">
        <v>12</v>
      </c>
      <c r="H24" s="15" t="s">
        <v>12</v>
      </c>
      <c r="I24" s="15" t="s">
        <v>12</v>
      </c>
      <c r="J24" s="15" t="s">
        <v>12</v>
      </c>
      <c r="K24" s="15" t="s">
        <v>12</v>
      </c>
      <c r="L24" s="15" t="s">
        <v>12</v>
      </c>
      <c r="M24" s="15" t="s">
        <v>12</v>
      </c>
      <c r="N24" s="15" t="s">
        <v>12</v>
      </c>
      <c r="O24" s="15" t="s">
        <v>12</v>
      </c>
      <c r="P24" s="15" t="s">
        <v>12</v>
      </c>
      <c r="Q24" s="15" t="s">
        <v>12</v>
      </c>
      <c r="R24" s="73" t="s">
        <v>12</v>
      </c>
      <c r="S24" s="73" t="s">
        <v>12</v>
      </c>
      <c r="T24" s="73" t="s">
        <v>12</v>
      </c>
      <c r="U24" s="73" t="s">
        <v>12</v>
      </c>
      <c r="V24" s="73" t="s">
        <v>12</v>
      </c>
      <c r="W24" s="73" t="s">
        <v>12</v>
      </c>
      <c r="X24" s="73" t="s">
        <v>12</v>
      </c>
      <c r="Y24" s="73" t="s">
        <v>12</v>
      </c>
      <c r="Z24" s="73" t="s">
        <v>12</v>
      </c>
      <c r="AA24" s="73" t="s">
        <v>12</v>
      </c>
      <c r="AB24" s="73" t="s">
        <v>12</v>
      </c>
      <c r="AC24" s="73" t="s">
        <v>12</v>
      </c>
      <c r="AD24" s="73" t="s">
        <v>12</v>
      </c>
      <c r="AE24" s="73" t="s">
        <v>12</v>
      </c>
      <c r="AF24" s="73" t="s">
        <v>12</v>
      </c>
      <c r="AG24" s="73" t="s">
        <v>12</v>
      </c>
      <c r="AH24" s="17">
        <f t="shared" si="0"/>
        <v>0.1</v>
      </c>
      <c r="AI24"/>
    </row>
    <row r="25" spans="1:35" ht="15.75" customHeight="1" x14ac:dyDescent="0.25">
      <c r="A25" s="144" t="s">
        <v>29</v>
      </c>
      <c r="B25" s="145"/>
      <c r="C25" s="146"/>
      <c r="D25" s="81" t="s">
        <v>22</v>
      </c>
      <c r="E25" s="81" t="s">
        <v>22</v>
      </c>
      <c r="F25" s="81" t="s">
        <v>12</v>
      </c>
      <c r="G25" s="81" t="s">
        <v>12</v>
      </c>
      <c r="H25" s="81" t="s">
        <v>12</v>
      </c>
      <c r="I25" s="81" t="s">
        <v>12</v>
      </c>
      <c r="J25" s="81" t="s">
        <v>12</v>
      </c>
      <c r="K25" s="81" t="s">
        <v>12</v>
      </c>
      <c r="L25" s="81" t="s">
        <v>22</v>
      </c>
      <c r="M25" s="81" t="s">
        <v>22</v>
      </c>
      <c r="N25" s="25" t="s">
        <v>22</v>
      </c>
      <c r="O25" s="25" t="s">
        <v>12</v>
      </c>
      <c r="P25" s="25" t="s">
        <v>12</v>
      </c>
      <c r="Q25" s="25" t="s">
        <v>12</v>
      </c>
      <c r="R25" s="26" t="s">
        <v>22</v>
      </c>
      <c r="S25" s="26" t="s">
        <v>22</v>
      </c>
      <c r="T25" s="26" t="s">
        <v>22</v>
      </c>
      <c r="U25" s="26" t="s">
        <v>22</v>
      </c>
      <c r="V25" s="26" t="s">
        <v>22</v>
      </c>
      <c r="W25" s="26" t="s">
        <v>22</v>
      </c>
      <c r="X25" s="26" t="s">
        <v>22</v>
      </c>
      <c r="Y25" s="26" t="s">
        <v>22</v>
      </c>
      <c r="Z25" s="26" t="s">
        <v>22</v>
      </c>
      <c r="AA25" s="26" t="s">
        <v>22</v>
      </c>
      <c r="AB25" s="26" t="s">
        <v>22</v>
      </c>
      <c r="AC25" s="26" t="s">
        <v>22</v>
      </c>
      <c r="AD25" s="26" t="s">
        <v>22</v>
      </c>
      <c r="AE25" s="26" t="s">
        <v>22</v>
      </c>
      <c r="AF25" s="26" t="s">
        <v>22</v>
      </c>
      <c r="AG25" s="26" t="s">
        <v>22</v>
      </c>
      <c r="AH25" s="19">
        <f t="shared" si="0"/>
        <v>0.7</v>
      </c>
      <c r="AI25"/>
    </row>
    <row r="26" spans="1:35" ht="15.75" customHeight="1" x14ac:dyDescent="0.25">
      <c r="A26" s="144" t="s">
        <v>30</v>
      </c>
      <c r="B26" s="145"/>
      <c r="C26" s="146"/>
      <c r="D26" s="81" t="s">
        <v>22</v>
      </c>
      <c r="E26" s="81" t="s">
        <v>22</v>
      </c>
      <c r="F26" s="81" t="s">
        <v>12</v>
      </c>
      <c r="G26" s="81" t="s">
        <v>12</v>
      </c>
      <c r="H26" s="81" t="s">
        <v>12</v>
      </c>
      <c r="I26" s="81" t="s">
        <v>12</v>
      </c>
      <c r="J26" s="81" t="s">
        <v>12</v>
      </c>
      <c r="K26" s="81" t="s">
        <v>12</v>
      </c>
      <c r="L26" s="81" t="s">
        <v>22</v>
      </c>
      <c r="M26" s="81" t="s">
        <v>22</v>
      </c>
      <c r="N26" s="81" t="s">
        <v>22</v>
      </c>
      <c r="O26" s="81" t="s">
        <v>12</v>
      </c>
      <c r="P26" s="81" t="s">
        <v>12</v>
      </c>
      <c r="Q26" s="81" t="s">
        <v>12</v>
      </c>
      <c r="R26" s="81" t="s">
        <v>22</v>
      </c>
      <c r="S26" s="81" t="s">
        <v>22</v>
      </c>
      <c r="T26" s="81" t="s">
        <v>22</v>
      </c>
      <c r="U26" s="81" t="s">
        <v>22</v>
      </c>
      <c r="V26" s="81" t="s">
        <v>22</v>
      </c>
      <c r="W26" s="81" t="s">
        <v>22</v>
      </c>
      <c r="X26" s="81" t="s">
        <v>22</v>
      </c>
      <c r="Y26" s="81" t="s">
        <v>22</v>
      </c>
      <c r="Z26" s="81" t="s">
        <v>22</v>
      </c>
      <c r="AA26" s="81" t="s">
        <v>22</v>
      </c>
      <c r="AB26" s="81" t="s">
        <v>22</v>
      </c>
      <c r="AC26" s="81" t="s">
        <v>22</v>
      </c>
      <c r="AD26" s="81" t="s">
        <v>22</v>
      </c>
      <c r="AE26" s="81" t="s">
        <v>22</v>
      </c>
      <c r="AF26" s="81" t="s">
        <v>22</v>
      </c>
      <c r="AG26" s="81" t="s">
        <v>22</v>
      </c>
      <c r="AH26" s="19">
        <f t="shared" si="0"/>
        <v>0.7</v>
      </c>
      <c r="AI26"/>
    </row>
    <row r="27" spans="1:35" ht="15.75" customHeight="1" x14ac:dyDescent="0.25">
      <c r="A27" s="141" t="s">
        <v>31</v>
      </c>
      <c r="B27" s="142"/>
      <c r="C27" s="143"/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72" t="s">
        <v>12</v>
      </c>
      <c r="N27" s="72" t="s">
        <v>12</v>
      </c>
      <c r="O27" s="72" t="s">
        <v>12</v>
      </c>
      <c r="P27" s="72" t="s">
        <v>12</v>
      </c>
      <c r="Q27" s="72" t="s">
        <v>12</v>
      </c>
      <c r="R27" s="72" t="s">
        <v>12</v>
      </c>
      <c r="S27" s="72" t="s">
        <v>12</v>
      </c>
      <c r="T27" s="72" t="s">
        <v>22</v>
      </c>
      <c r="U27" s="72" t="s">
        <v>22</v>
      </c>
      <c r="V27" s="72" t="s">
        <v>22</v>
      </c>
      <c r="W27" s="72" t="s">
        <v>22</v>
      </c>
      <c r="X27" s="72" t="s">
        <v>22</v>
      </c>
      <c r="Y27" s="72" t="s">
        <v>22</v>
      </c>
      <c r="Z27" s="72" t="s">
        <v>22</v>
      </c>
      <c r="AA27" s="72" t="s">
        <v>22</v>
      </c>
      <c r="AB27" s="72" t="s">
        <v>22</v>
      </c>
      <c r="AC27" s="27" t="s">
        <v>12</v>
      </c>
      <c r="AD27" s="27" t="s">
        <v>12</v>
      </c>
      <c r="AE27" s="27" t="s">
        <v>12</v>
      </c>
      <c r="AF27" s="27" t="s">
        <v>12</v>
      </c>
      <c r="AG27" s="27" t="s">
        <v>12</v>
      </c>
      <c r="AH27" s="13">
        <f t="shared" si="0"/>
        <v>0.3</v>
      </c>
      <c r="AI27"/>
    </row>
    <row r="28" spans="1:35" ht="15.75" customHeight="1" x14ac:dyDescent="0.25">
      <c r="A28" s="156" t="s">
        <v>32</v>
      </c>
      <c r="B28" s="157"/>
      <c r="C28" s="158"/>
      <c r="D28" s="28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82">
        <v>0</v>
      </c>
      <c r="N28" s="82">
        <v>0</v>
      </c>
      <c r="O28" s="82">
        <v>0</v>
      </c>
      <c r="P28" s="82">
        <v>0</v>
      </c>
      <c r="Q28" s="28">
        <v>0</v>
      </c>
      <c r="R28" s="28">
        <v>0</v>
      </c>
      <c r="S28" s="28">
        <v>0</v>
      </c>
      <c r="T28" s="28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17">
        <f t="shared" si="0"/>
        <v>0</v>
      </c>
      <c r="AI28"/>
    </row>
    <row r="29" spans="1:35" ht="15.75" customHeight="1" x14ac:dyDescent="0.25">
      <c r="A29" s="153" t="s">
        <v>99</v>
      </c>
      <c r="B29" s="154"/>
      <c r="C29" s="155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19">
        <f t="shared" si="0"/>
        <v>0</v>
      </c>
      <c r="AI29"/>
    </row>
    <row r="30" spans="1:35" ht="15.75" customHeight="1" x14ac:dyDescent="0.25">
      <c r="A30" s="165" t="s">
        <v>33</v>
      </c>
      <c r="B30" s="166"/>
      <c r="C30" s="167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12</v>
      </c>
      <c r="K30" s="84" t="s">
        <v>12</v>
      </c>
      <c r="L30" s="84" t="s">
        <v>12</v>
      </c>
      <c r="M30" s="84" t="s">
        <v>12</v>
      </c>
      <c r="N30" s="84" t="s">
        <v>12</v>
      </c>
      <c r="O30" s="84" t="s">
        <v>12</v>
      </c>
      <c r="P30" s="84" t="s">
        <v>12</v>
      </c>
      <c r="Q30" s="84" t="s">
        <v>12</v>
      </c>
      <c r="R30" s="84" t="s">
        <v>12</v>
      </c>
      <c r="S30" s="84" t="s">
        <v>12</v>
      </c>
      <c r="T30" s="84" t="s">
        <v>22</v>
      </c>
      <c r="U30" s="84" t="s">
        <v>22</v>
      </c>
      <c r="V30" s="84" t="s">
        <v>22</v>
      </c>
      <c r="W30" s="84" t="s">
        <v>22</v>
      </c>
      <c r="X30" s="84" t="s">
        <v>22</v>
      </c>
      <c r="Y30" s="84" t="s">
        <v>22</v>
      </c>
      <c r="Z30" s="84" t="s">
        <v>22</v>
      </c>
      <c r="AA30" s="84" t="s">
        <v>22</v>
      </c>
      <c r="AB30" s="84" t="s">
        <v>22</v>
      </c>
      <c r="AC30" s="84" t="s">
        <v>12</v>
      </c>
      <c r="AD30" s="84" t="s">
        <v>12</v>
      </c>
      <c r="AE30" s="84" t="s">
        <v>12</v>
      </c>
      <c r="AF30" s="84" t="s">
        <v>12</v>
      </c>
      <c r="AG30" s="84" t="s">
        <v>12</v>
      </c>
      <c r="AH30" s="19">
        <f t="shared" si="0"/>
        <v>0.3</v>
      </c>
      <c r="AI30"/>
    </row>
    <row r="31" spans="1:35" ht="15.75" customHeight="1" x14ac:dyDescent="0.25">
      <c r="A31" s="141" t="s">
        <v>34</v>
      </c>
      <c r="B31" s="142"/>
      <c r="C31" s="143"/>
      <c r="D31" s="72" t="s">
        <v>12</v>
      </c>
      <c r="E31" s="72" t="s">
        <v>12</v>
      </c>
      <c r="F31" s="72" t="s">
        <v>12</v>
      </c>
      <c r="G31" s="72" t="s">
        <v>12</v>
      </c>
      <c r="H31" s="72" t="s">
        <v>12</v>
      </c>
      <c r="I31" s="72" t="s">
        <v>12</v>
      </c>
      <c r="J31" s="72" t="s">
        <v>12</v>
      </c>
      <c r="K31" s="72" t="s">
        <v>12</v>
      </c>
      <c r="L31" s="72" t="s">
        <v>12</v>
      </c>
      <c r="M31" s="72" t="s">
        <v>12</v>
      </c>
      <c r="N31" s="72" t="s">
        <v>12</v>
      </c>
      <c r="O31" s="72" t="s">
        <v>12</v>
      </c>
      <c r="P31" s="72" t="s">
        <v>12</v>
      </c>
      <c r="Q31" s="72" t="s">
        <v>12</v>
      </c>
      <c r="R31" s="72" t="s">
        <v>12</v>
      </c>
      <c r="S31" s="72" t="s">
        <v>12</v>
      </c>
      <c r="T31" s="72" t="s">
        <v>12</v>
      </c>
      <c r="U31" s="72" t="s">
        <v>22</v>
      </c>
      <c r="V31" s="72" t="s">
        <v>22</v>
      </c>
      <c r="W31" s="72" t="s">
        <v>22</v>
      </c>
      <c r="X31" s="72" t="s">
        <v>22</v>
      </c>
      <c r="Y31" s="72" t="s">
        <v>22</v>
      </c>
      <c r="Z31" s="72" t="s">
        <v>22</v>
      </c>
      <c r="AA31" s="72" t="s">
        <v>22</v>
      </c>
      <c r="AB31" s="72" t="s">
        <v>22</v>
      </c>
      <c r="AC31" s="72" t="s">
        <v>12</v>
      </c>
      <c r="AD31" s="72" t="s">
        <v>12</v>
      </c>
      <c r="AE31" s="72" t="s">
        <v>12</v>
      </c>
      <c r="AF31" s="72" t="s">
        <v>12</v>
      </c>
      <c r="AG31" s="72" t="s">
        <v>12</v>
      </c>
      <c r="AH31" s="13">
        <f t="shared" si="0"/>
        <v>0.26666666666666666</v>
      </c>
      <c r="AI31"/>
    </row>
    <row r="32" spans="1:35" ht="15.75" customHeight="1" x14ac:dyDescent="0.25">
      <c r="A32" s="168" t="s">
        <v>35</v>
      </c>
      <c r="B32" s="169"/>
      <c r="C32" s="170"/>
      <c r="D32" s="85" t="s">
        <v>12</v>
      </c>
      <c r="E32" s="85" t="s">
        <v>12</v>
      </c>
      <c r="F32" s="85" t="s">
        <v>12</v>
      </c>
      <c r="G32" s="85" t="s">
        <v>12</v>
      </c>
      <c r="H32" s="85" t="s">
        <v>12</v>
      </c>
      <c r="I32" s="85" t="s">
        <v>12</v>
      </c>
      <c r="J32" s="85" t="s">
        <v>12</v>
      </c>
      <c r="K32" s="85" t="s">
        <v>12</v>
      </c>
      <c r="L32" s="85" t="s">
        <v>12</v>
      </c>
      <c r="M32" s="85" t="s">
        <v>12</v>
      </c>
      <c r="N32" s="85" t="s">
        <v>12</v>
      </c>
      <c r="O32" s="85" t="s">
        <v>12</v>
      </c>
      <c r="P32" s="85" t="s">
        <v>12</v>
      </c>
      <c r="Q32" s="85" t="s">
        <v>12</v>
      </c>
      <c r="R32" s="85" t="s">
        <v>12</v>
      </c>
      <c r="S32" s="85" t="s">
        <v>12</v>
      </c>
      <c r="T32" s="85" t="s">
        <v>12</v>
      </c>
      <c r="U32" s="85" t="s">
        <v>22</v>
      </c>
      <c r="V32" s="85" t="s">
        <v>22</v>
      </c>
      <c r="W32" s="85" t="s">
        <v>22</v>
      </c>
      <c r="X32" s="85" t="s">
        <v>22</v>
      </c>
      <c r="Y32" s="85" t="s">
        <v>22</v>
      </c>
      <c r="Z32" s="85" t="s">
        <v>22</v>
      </c>
      <c r="AA32" s="85" t="s">
        <v>22</v>
      </c>
      <c r="AB32" s="85" t="s">
        <v>22</v>
      </c>
      <c r="AC32" s="85" t="s">
        <v>12</v>
      </c>
      <c r="AD32" s="85" t="s">
        <v>12</v>
      </c>
      <c r="AE32" s="85" t="s">
        <v>12</v>
      </c>
      <c r="AF32" s="85" t="s">
        <v>12</v>
      </c>
      <c r="AG32" s="85" t="s">
        <v>12</v>
      </c>
      <c r="AH32" s="17">
        <f t="shared" si="0"/>
        <v>0.26666666666666666</v>
      </c>
      <c r="AI32"/>
    </row>
    <row r="33" spans="1:44" ht="15.75" customHeight="1" x14ac:dyDescent="0.25">
      <c r="A33" s="144" t="s">
        <v>36</v>
      </c>
      <c r="B33" s="145"/>
      <c r="C33" s="146"/>
      <c r="D33" s="25" t="s">
        <v>12</v>
      </c>
      <c r="E33" s="25" t="s">
        <v>12</v>
      </c>
      <c r="F33" s="25" t="s">
        <v>12</v>
      </c>
      <c r="G33" s="25" t="s">
        <v>12</v>
      </c>
      <c r="H33" s="25" t="s">
        <v>12</v>
      </c>
      <c r="I33" s="25" t="s">
        <v>12</v>
      </c>
      <c r="J33" s="25" t="s">
        <v>12</v>
      </c>
      <c r="K33" s="25" t="s">
        <v>12</v>
      </c>
      <c r="L33" s="25" t="s">
        <v>12</v>
      </c>
      <c r="M33" s="81" t="s">
        <v>12</v>
      </c>
      <c r="N33" s="81" t="s">
        <v>12</v>
      </c>
      <c r="O33" s="81" t="s">
        <v>12</v>
      </c>
      <c r="P33" s="81" t="s">
        <v>12</v>
      </c>
      <c r="Q33" s="24" t="s">
        <v>12</v>
      </c>
      <c r="R33" s="24" t="s">
        <v>12</v>
      </c>
      <c r="S33" s="24" t="s">
        <v>12</v>
      </c>
      <c r="T33" s="24" t="s">
        <v>12</v>
      </c>
      <c r="U33" s="24" t="s">
        <v>22</v>
      </c>
      <c r="V33" s="24" t="s">
        <v>22</v>
      </c>
      <c r="W33" s="24" t="s">
        <v>22</v>
      </c>
      <c r="X33" s="24" t="s">
        <v>22</v>
      </c>
      <c r="Y33" s="24" t="s">
        <v>22</v>
      </c>
      <c r="Z33" s="24" t="s">
        <v>22</v>
      </c>
      <c r="AA33" s="24" t="s">
        <v>22</v>
      </c>
      <c r="AB33" s="24" t="s">
        <v>22</v>
      </c>
      <c r="AC33" s="25" t="s">
        <v>12</v>
      </c>
      <c r="AD33" s="25" t="s">
        <v>12</v>
      </c>
      <c r="AE33" s="25" t="s">
        <v>12</v>
      </c>
      <c r="AF33" s="25" t="s">
        <v>12</v>
      </c>
      <c r="AG33" s="25" t="s">
        <v>12</v>
      </c>
      <c r="AH33" s="19">
        <f t="shared" si="0"/>
        <v>0.26666666666666666</v>
      </c>
      <c r="AI33"/>
    </row>
    <row r="34" spans="1:44" ht="15.75" customHeight="1" x14ac:dyDescent="0.25">
      <c r="A34" s="144" t="s">
        <v>95</v>
      </c>
      <c r="B34" s="145"/>
      <c r="C34" s="146"/>
      <c r="D34" s="25" t="s">
        <v>12</v>
      </c>
      <c r="E34" s="25" t="s">
        <v>12</v>
      </c>
      <c r="F34" s="25" t="s">
        <v>12</v>
      </c>
      <c r="G34" s="25" t="s">
        <v>12</v>
      </c>
      <c r="H34" s="25" t="s">
        <v>12</v>
      </c>
      <c r="I34" s="25" t="s">
        <v>12</v>
      </c>
      <c r="J34" s="25" t="s">
        <v>12</v>
      </c>
      <c r="K34" s="25" t="s">
        <v>12</v>
      </c>
      <c r="L34" s="25" t="s">
        <v>12</v>
      </c>
      <c r="M34" s="81" t="s">
        <v>12</v>
      </c>
      <c r="N34" s="81" t="s">
        <v>12</v>
      </c>
      <c r="O34" s="81" t="s">
        <v>12</v>
      </c>
      <c r="P34" s="81" t="s">
        <v>12</v>
      </c>
      <c r="Q34" s="24" t="s">
        <v>12</v>
      </c>
      <c r="R34" s="24" t="s">
        <v>12</v>
      </c>
      <c r="S34" s="24" t="s">
        <v>12</v>
      </c>
      <c r="T34" s="24" t="s">
        <v>12</v>
      </c>
      <c r="U34" s="24" t="s">
        <v>12</v>
      </c>
      <c r="V34" s="24" t="s">
        <v>12</v>
      </c>
      <c r="W34" s="24" t="s">
        <v>22</v>
      </c>
      <c r="X34" s="24" t="s">
        <v>22</v>
      </c>
      <c r="Y34" s="24" t="s">
        <v>22</v>
      </c>
      <c r="Z34" s="24" t="s">
        <v>22</v>
      </c>
      <c r="AA34" s="24" t="s">
        <v>22</v>
      </c>
      <c r="AB34" s="24" t="s">
        <v>22</v>
      </c>
      <c r="AC34" s="24" t="s">
        <v>12</v>
      </c>
      <c r="AD34" s="24" t="s">
        <v>12</v>
      </c>
      <c r="AE34" s="24" t="s">
        <v>12</v>
      </c>
      <c r="AF34" s="24" t="s">
        <v>12</v>
      </c>
      <c r="AG34" s="24" t="s">
        <v>12</v>
      </c>
      <c r="AH34" s="19">
        <f t="shared" si="0"/>
        <v>0.2</v>
      </c>
      <c r="AI34"/>
    </row>
    <row r="35" spans="1:44" ht="15.75" customHeight="1" thickBot="1" x14ac:dyDescent="0.3">
      <c r="A35" s="171" t="s">
        <v>96</v>
      </c>
      <c r="B35" s="172"/>
      <c r="C35" s="173"/>
      <c r="D35" s="97" t="s">
        <v>12</v>
      </c>
      <c r="E35" s="97" t="s">
        <v>12</v>
      </c>
      <c r="F35" s="97" t="s">
        <v>12</v>
      </c>
      <c r="G35" s="97" t="s">
        <v>12</v>
      </c>
      <c r="H35" s="97" t="s">
        <v>12</v>
      </c>
      <c r="I35" s="97" t="s">
        <v>12</v>
      </c>
      <c r="J35" s="97" t="s">
        <v>12</v>
      </c>
      <c r="K35" s="97" t="s">
        <v>12</v>
      </c>
      <c r="L35" s="97" t="s">
        <v>12</v>
      </c>
      <c r="M35" s="95" t="s">
        <v>12</v>
      </c>
      <c r="N35" s="95" t="s">
        <v>12</v>
      </c>
      <c r="O35" s="95" t="s">
        <v>12</v>
      </c>
      <c r="P35" s="95" t="s">
        <v>12</v>
      </c>
      <c r="Q35" s="96" t="s">
        <v>12</v>
      </c>
      <c r="R35" s="96" t="s">
        <v>22</v>
      </c>
      <c r="S35" s="96" t="s">
        <v>22</v>
      </c>
      <c r="T35" s="96" t="s">
        <v>22</v>
      </c>
      <c r="U35" s="96" t="s">
        <v>22</v>
      </c>
      <c r="V35" s="96" t="s">
        <v>22</v>
      </c>
      <c r="W35" s="96" t="s">
        <v>22</v>
      </c>
      <c r="X35" s="96" t="s">
        <v>22</v>
      </c>
      <c r="Y35" s="96" t="s">
        <v>22</v>
      </c>
      <c r="Z35" s="96" t="s">
        <v>22</v>
      </c>
      <c r="AA35" s="96" t="s">
        <v>22</v>
      </c>
      <c r="AB35" s="96" t="s">
        <v>22</v>
      </c>
      <c r="AC35" s="96" t="s">
        <v>12</v>
      </c>
      <c r="AD35" s="96" t="s">
        <v>12</v>
      </c>
      <c r="AE35" s="96" t="s">
        <v>12</v>
      </c>
      <c r="AF35" s="96" t="s">
        <v>12</v>
      </c>
      <c r="AG35" s="96" t="s">
        <v>12</v>
      </c>
      <c r="AH35" s="98">
        <f t="shared" si="0"/>
        <v>0.36666666666666664</v>
      </c>
      <c r="AI35"/>
    </row>
    <row r="36" spans="1:44" s="32" customFormat="1" ht="15.75" customHeight="1" x14ac:dyDescent="0.25">
      <c r="A36" s="162" t="s">
        <v>37</v>
      </c>
      <c r="B36" s="163"/>
      <c r="C36" s="164"/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31">
        <v>0</v>
      </c>
      <c r="N36" s="31">
        <v>0</v>
      </c>
      <c r="O36" s="76">
        <v>0</v>
      </c>
      <c r="P36" s="76">
        <v>0</v>
      </c>
      <c r="Q36" s="76">
        <v>0</v>
      </c>
      <c r="R36" s="77">
        <v>0</v>
      </c>
      <c r="S36" s="77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6">
        <v>0</v>
      </c>
      <c r="AB36" s="76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133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>ANB</v>
      </c>
      <c r="H39" s="38" t="str">
        <f>IF(AND(H5:H5&gt;0,COUNTA(H6:H35),COUNTIF(H6:H35,"NB")+COUNTIF(H6:H35,0)=COUNTA(H6:H35)),"ANB","")</f>
        <v>ANB</v>
      </c>
      <c r="I39" s="38" t="str">
        <f>IF(AND(I5:I5&gt;0,COUNTA(I6:I31),COUNTIF(I6:I31,"NB")+COUNTIF(I6:I31,0)=COUNTA(I6:I31)),"ANB","")</f>
        <v>ANB</v>
      </c>
      <c r="J39" s="38" t="str">
        <f t="shared" ref="J39:AG39" si="2">IF(AND(J5:J5&gt;0,COUNTA(J6:J35),COUNTIF(J6:J35,"NB")+COUNTIF(J6:J35,0)=COUNTA(J6:J35)),"ANB","")</f>
        <v>ANB</v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>ANB</v>
      </c>
      <c r="P39" s="38" t="str">
        <f t="shared" si="2"/>
        <v>ANB</v>
      </c>
      <c r="Q39" s="38" t="str">
        <f t="shared" si="2"/>
        <v>ANB</v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23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7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N25:N26 M27:N35 M15:N24 M9:O14 O15:O35 D36:AG37 M6:AG7 P9:AG35">
    <cfRule type="cellIs" dxfId="757" priority="57" operator="equal">
      <formula>"B"</formula>
    </cfRule>
    <cfRule type="cellIs" dxfId="756" priority="59" operator="equal">
      <formula>0</formula>
    </cfRule>
    <cfRule type="cellIs" dxfId="755" priority="60" operator="equal">
      <formula>"NB"</formula>
    </cfRule>
    <cfRule type="cellIs" dxfId="754" priority="61" operator="equal">
      <formula>"M"</formula>
    </cfRule>
  </conditionalFormatting>
  <conditionalFormatting sqref="D6:D35 E23:F26 E6:L17 E30:L35 G25:M26 M8:AG8">
    <cfRule type="containsText" dxfId="753" priority="54" operator="containsText" text="NB">
      <formula>NOT(ISERROR(SEARCH("NB",D6)))</formula>
    </cfRule>
    <cfRule type="containsText" dxfId="752" priority="55" operator="containsText" text="M">
      <formula>NOT(ISERROR(SEARCH("M",D6)))</formula>
    </cfRule>
    <cfRule type="containsText" dxfId="751" priority="56" operator="containsText" text="B">
      <formula>NOT(ISERROR(SEARCH("B",D6)))</formula>
    </cfRule>
  </conditionalFormatting>
  <conditionalFormatting sqref="D6:D35 E23:F26 E6:L17 E30:L35 G25:M26 M8:AG8">
    <cfRule type="cellIs" dxfId="750" priority="53" operator="equal">
      <formula>0</formula>
    </cfRule>
  </conditionalFormatting>
  <conditionalFormatting sqref="E18:L22">
    <cfRule type="containsText" dxfId="749" priority="50" operator="containsText" text="NB">
      <formula>NOT(ISERROR(SEARCH("NB",E18)))</formula>
    </cfRule>
    <cfRule type="containsText" dxfId="748" priority="51" operator="containsText" text="M">
      <formula>NOT(ISERROR(SEARCH("M",E18)))</formula>
    </cfRule>
    <cfRule type="containsText" dxfId="747" priority="52" operator="containsText" text="B">
      <formula>NOT(ISERROR(SEARCH("B",E18)))</formula>
    </cfRule>
  </conditionalFormatting>
  <conditionalFormatting sqref="E18:L22">
    <cfRule type="cellIs" dxfId="746" priority="49" operator="equal">
      <formula>0</formula>
    </cfRule>
  </conditionalFormatting>
  <conditionalFormatting sqref="E29:F29 E28:H28 E27:L27">
    <cfRule type="containsText" dxfId="745" priority="46" operator="containsText" text="NB">
      <formula>NOT(ISERROR(SEARCH("NB",E27)))</formula>
    </cfRule>
    <cfRule type="containsText" dxfId="744" priority="47" operator="containsText" text="M">
      <formula>NOT(ISERROR(SEARCH("M",E27)))</formula>
    </cfRule>
    <cfRule type="containsText" dxfId="743" priority="48" operator="containsText" text="B">
      <formula>NOT(ISERROR(SEARCH("B",E27)))</formula>
    </cfRule>
  </conditionalFormatting>
  <conditionalFormatting sqref="E29:F29 E28:H28 E27:L27">
    <cfRule type="cellIs" dxfId="742" priority="45" operator="equal">
      <formula>0</formula>
    </cfRule>
  </conditionalFormatting>
  <conditionalFormatting sqref="G23:L24">
    <cfRule type="cellIs" dxfId="741" priority="29" operator="equal">
      <formula>"B"</formula>
    </cfRule>
    <cfRule type="cellIs" dxfId="740" priority="30" operator="equal">
      <formula>0</formula>
    </cfRule>
    <cfRule type="cellIs" dxfId="739" priority="31" operator="equal">
      <formula>"NB"</formula>
    </cfRule>
    <cfRule type="cellIs" dxfId="738" priority="32" operator="equal">
      <formula>"M"</formula>
    </cfRule>
  </conditionalFormatting>
  <conditionalFormatting sqref="G29:I29 I28 J28:L29">
    <cfRule type="containsText" dxfId="737" priority="22" operator="containsText" text="NB">
      <formula>NOT(ISERROR(SEARCH("NB",G28)))</formula>
    </cfRule>
    <cfRule type="containsText" dxfId="736" priority="23" operator="containsText" text="M">
      <formula>NOT(ISERROR(SEARCH("M",G28)))</formula>
    </cfRule>
    <cfRule type="containsText" dxfId="735" priority="24" operator="containsText" text="B">
      <formula>NOT(ISERROR(SEARCH("B",G28)))</formula>
    </cfRule>
  </conditionalFormatting>
  <conditionalFormatting sqref="G29:I29 I28 J28:L29">
    <cfRule type="cellIs" dxfId="734" priority="21" operator="equal">
      <formula>0</formula>
    </cfRule>
  </conditionalFormatting>
  <pageMargins left="0.75" right="0.75" top="1" bottom="1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110</v>
      </c>
    </row>
    <row r="4" spans="1:44" s="5" customFormat="1" ht="15.75" customHeight="1" thickBot="1" x14ac:dyDescent="0.3">
      <c r="C4" s="6"/>
      <c r="F4" s="5" t="s">
        <v>3</v>
      </c>
      <c r="G4" s="6" t="s">
        <v>3</v>
      </c>
      <c r="M4" s="5" t="s">
        <v>3</v>
      </c>
      <c r="N4" s="6" t="s">
        <v>3</v>
      </c>
      <c r="T4" s="5" t="s">
        <v>3</v>
      </c>
      <c r="U4" s="5" t="s">
        <v>3</v>
      </c>
      <c r="AA4" s="5" t="s">
        <v>3</v>
      </c>
      <c r="AB4" s="5" t="s">
        <v>3</v>
      </c>
      <c r="AH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22</v>
      </c>
      <c r="K6" s="72" t="s">
        <v>22</v>
      </c>
      <c r="L6" s="72" t="s">
        <v>22</v>
      </c>
      <c r="M6" s="72" t="s">
        <v>22</v>
      </c>
      <c r="N6" s="72" t="s">
        <v>12</v>
      </c>
      <c r="O6" s="72" t="s">
        <v>12</v>
      </c>
      <c r="P6" s="72" t="s">
        <v>12</v>
      </c>
      <c r="Q6" s="72" t="s">
        <v>12</v>
      </c>
      <c r="R6" s="72" t="s">
        <v>12</v>
      </c>
      <c r="S6" s="72" t="s">
        <v>12</v>
      </c>
      <c r="T6" s="72" t="s">
        <v>12</v>
      </c>
      <c r="U6" s="72" t="s">
        <v>22</v>
      </c>
      <c r="V6" s="72" t="s">
        <v>22</v>
      </c>
      <c r="W6" s="72" t="s">
        <v>22</v>
      </c>
      <c r="X6" s="72" t="s">
        <v>22</v>
      </c>
      <c r="Y6" s="72" t="s">
        <v>22</v>
      </c>
      <c r="Z6" s="72" t="s">
        <v>22</v>
      </c>
      <c r="AA6" s="72" t="s">
        <v>22</v>
      </c>
      <c r="AB6" s="72" t="s">
        <v>12</v>
      </c>
      <c r="AC6" s="72" t="s">
        <v>12</v>
      </c>
      <c r="AD6" s="72" t="s">
        <v>12</v>
      </c>
      <c r="AE6" s="72" t="s">
        <v>22</v>
      </c>
      <c r="AF6" s="72" t="s">
        <v>22</v>
      </c>
      <c r="AG6" s="72" t="s">
        <v>22</v>
      </c>
      <c r="AH6" s="72" t="s">
        <v>12</v>
      </c>
      <c r="AI6" s="13">
        <f>IF(COUNTA(D6:AH6)&gt;0,(COUNTA(D6:AH6)-COUNTIF(D6:AH6,"NB")-COUNTIF(D6:AH6,"DN")-COUNTIF(D6:AH6,"An")-COUNTIF(D6:AH6,"NB^")-COUNTIF(D6:AH6,0))/COUNTA(D6:AH6),"")</f>
        <v>0.45161290322580644</v>
      </c>
    </row>
    <row r="7" spans="1:44" ht="15.75" customHeight="1" x14ac:dyDescent="0.25">
      <c r="A7" s="138" t="s">
        <v>10</v>
      </c>
      <c r="B7" s="139"/>
      <c r="C7" s="140"/>
      <c r="D7" s="14" t="s">
        <v>12</v>
      </c>
      <c r="E7" s="14" t="s">
        <v>12</v>
      </c>
      <c r="F7" s="14" t="s">
        <v>12</v>
      </c>
      <c r="G7" s="14" t="s">
        <v>12</v>
      </c>
      <c r="H7" s="14" t="s">
        <v>12</v>
      </c>
      <c r="I7" s="14" t="s">
        <v>12</v>
      </c>
      <c r="J7" s="14" t="s">
        <v>22</v>
      </c>
      <c r="K7" s="14" t="s">
        <v>22</v>
      </c>
      <c r="L7" s="73" t="s">
        <v>22</v>
      </c>
      <c r="M7" s="73" t="s">
        <v>22</v>
      </c>
      <c r="N7" s="73" t="s">
        <v>12</v>
      </c>
      <c r="O7" s="73" t="s">
        <v>12</v>
      </c>
      <c r="P7" s="73" t="s">
        <v>12</v>
      </c>
      <c r="Q7" s="73" t="s">
        <v>12</v>
      </c>
      <c r="R7" s="73" t="s">
        <v>12</v>
      </c>
      <c r="S7" s="73" t="s">
        <v>12</v>
      </c>
      <c r="T7" s="73" t="s">
        <v>12</v>
      </c>
      <c r="U7" s="14" t="s">
        <v>22</v>
      </c>
      <c r="V7" s="14" t="s">
        <v>22</v>
      </c>
      <c r="W7" s="14" t="s">
        <v>22</v>
      </c>
      <c r="X7" s="14" t="s">
        <v>22</v>
      </c>
      <c r="Y7" s="14" t="s">
        <v>22</v>
      </c>
      <c r="Z7" s="14" t="s">
        <v>22</v>
      </c>
      <c r="AA7" s="14" t="s">
        <v>22</v>
      </c>
      <c r="AB7" s="14" t="s">
        <v>12</v>
      </c>
      <c r="AC7" s="14" t="s">
        <v>12</v>
      </c>
      <c r="AD7" s="14" t="s">
        <v>12</v>
      </c>
      <c r="AE7" s="73" t="s">
        <v>22</v>
      </c>
      <c r="AF7" s="73" t="s">
        <v>22</v>
      </c>
      <c r="AG7" s="73" t="s">
        <v>22</v>
      </c>
      <c r="AH7" s="73" t="s">
        <v>12</v>
      </c>
      <c r="AI7" s="17">
        <f t="shared" ref="AI7:AI35" si="0">IF(COUNTA(D7:AH7)&gt;0,(COUNTA(D7:AH7)-COUNTIF(D7:AH7,"NB")-COUNTIF(D7:AH7,"DN")-COUNTIF(D7:AH7,"An")-COUNTIF(D7:AH7,"NB^")-COUNTIF(D7:AH7,0))/COUNTA(D7:AH7),"")</f>
        <v>0.45161290322580644</v>
      </c>
    </row>
    <row r="8" spans="1:44" ht="15.75" customHeight="1" x14ac:dyDescent="0.25">
      <c r="A8" s="144" t="s">
        <v>94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 t="shared" si="0"/>
        <v>0</v>
      </c>
    </row>
    <row r="9" spans="1:44" ht="15.75" customHeight="1" x14ac:dyDescent="0.25">
      <c r="A9" s="147" t="s">
        <v>13</v>
      </c>
      <c r="B9" s="148"/>
      <c r="C9" s="149"/>
      <c r="D9" s="79" t="s">
        <v>12</v>
      </c>
      <c r="E9" s="79" t="s">
        <v>12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12</v>
      </c>
      <c r="K9" s="79" t="s">
        <v>12</v>
      </c>
      <c r="L9" s="20" t="s">
        <v>12</v>
      </c>
      <c r="M9" s="20" t="s">
        <v>12</v>
      </c>
      <c r="N9" s="20" t="s">
        <v>12</v>
      </c>
      <c r="O9" s="20" t="s">
        <v>12</v>
      </c>
      <c r="P9" s="20" t="s">
        <v>12</v>
      </c>
      <c r="Q9" s="20" t="s">
        <v>12</v>
      </c>
      <c r="R9" s="20" t="s">
        <v>12</v>
      </c>
      <c r="S9" s="20" t="s">
        <v>12</v>
      </c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12</v>
      </c>
      <c r="Z9" s="20" t="s">
        <v>12</v>
      </c>
      <c r="AA9" s="20" t="s">
        <v>12</v>
      </c>
      <c r="AB9" s="20" t="s">
        <v>12</v>
      </c>
      <c r="AC9" s="20" t="s">
        <v>12</v>
      </c>
      <c r="AD9" s="20" t="s">
        <v>12</v>
      </c>
      <c r="AE9" s="79" t="s">
        <v>12</v>
      </c>
      <c r="AF9" s="79" t="s">
        <v>12</v>
      </c>
      <c r="AG9" s="79" t="s">
        <v>12</v>
      </c>
      <c r="AH9" s="79" t="s">
        <v>12</v>
      </c>
      <c r="AI9" s="13">
        <f t="shared" si="0"/>
        <v>0</v>
      </c>
    </row>
    <row r="10" spans="1:44" ht="15.75" customHeight="1" x14ac:dyDescent="0.25">
      <c r="A10" s="150" t="s">
        <v>14</v>
      </c>
      <c r="B10" s="151"/>
      <c r="C10" s="152"/>
      <c r="D10" s="80" t="s">
        <v>12</v>
      </c>
      <c r="E10" s="80" t="s">
        <v>12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12</v>
      </c>
      <c r="K10" s="80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80" t="s">
        <v>12</v>
      </c>
      <c r="AF10" s="80" t="s">
        <v>12</v>
      </c>
      <c r="AG10" s="80" t="s">
        <v>12</v>
      </c>
      <c r="AH10" s="80" t="s">
        <v>12</v>
      </c>
      <c r="AI10" s="21">
        <f t="shared" si="0"/>
        <v>0</v>
      </c>
    </row>
    <row r="11" spans="1:44" ht="15.75" customHeight="1" x14ac:dyDescent="0.25">
      <c r="A11" s="150" t="s">
        <v>15</v>
      </c>
      <c r="B11" s="151"/>
      <c r="C11" s="152"/>
      <c r="D11" s="80" t="s">
        <v>12</v>
      </c>
      <c r="E11" s="80" t="s">
        <v>12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12</v>
      </c>
      <c r="K11" s="80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80" t="s">
        <v>12</v>
      </c>
      <c r="AF11" s="80" t="s">
        <v>12</v>
      </c>
      <c r="AG11" s="80" t="s">
        <v>12</v>
      </c>
      <c r="AH11" s="80" t="s">
        <v>12</v>
      </c>
      <c r="AI11" s="21">
        <f t="shared" si="0"/>
        <v>0</v>
      </c>
    </row>
    <row r="12" spans="1:44" ht="15.75" customHeight="1" x14ac:dyDescent="0.25">
      <c r="A12" s="150" t="s">
        <v>16</v>
      </c>
      <c r="B12" s="151"/>
      <c r="C12" s="152"/>
      <c r="D12" s="80" t="s">
        <v>12</v>
      </c>
      <c r="E12" s="80" t="s">
        <v>12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12</v>
      </c>
      <c r="K12" s="80" t="s">
        <v>12</v>
      </c>
      <c r="L12" s="16" t="s">
        <v>12</v>
      </c>
      <c r="M12" s="16" t="s">
        <v>12</v>
      </c>
      <c r="N12" s="16" t="s">
        <v>12</v>
      </c>
      <c r="O12" s="16" t="s">
        <v>12</v>
      </c>
      <c r="P12" s="16" t="s">
        <v>12</v>
      </c>
      <c r="Q12" s="16" t="s">
        <v>12</v>
      </c>
      <c r="R12" s="16" t="s">
        <v>12</v>
      </c>
      <c r="S12" s="16" t="s">
        <v>12</v>
      </c>
      <c r="T12" s="16" t="s">
        <v>12</v>
      </c>
      <c r="U12" s="16" t="s">
        <v>12</v>
      </c>
      <c r="V12" s="16" t="s">
        <v>12</v>
      </c>
      <c r="W12" s="16" t="s">
        <v>12</v>
      </c>
      <c r="X12" s="16" t="s">
        <v>12</v>
      </c>
      <c r="Y12" s="16" t="s">
        <v>12</v>
      </c>
      <c r="Z12" s="16" t="s">
        <v>12</v>
      </c>
      <c r="AA12" s="16" t="s">
        <v>12</v>
      </c>
      <c r="AB12" s="16" t="s">
        <v>12</v>
      </c>
      <c r="AC12" s="16" t="s">
        <v>12</v>
      </c>
      <c r="AD12" s="16" t="s">
        <v>12</v>
      </c>
      <c r="AE12" s="80" t="s">
        <v>12</v>
      </c>
      <c r="AF12" s="80" t="s">
        <v>12</v>
      </c>
      <c r="AG12" s="80" t="s">
        <v>12</v>
      </c>
      <c r="AH12" s="80" t="s">
        <v>12</v>
      </c>
      <c r="AI12" s="21">
        <f t="shared" si="0"/>
        <v>0</v>
      </c>
    </row>
    <row r="13" spans="1:44" ht="15.75" customHeight="1" x14ac:dyDescent="0.25">
      <c r="A13" s="150" t="s">
        <v>17</v>
      </c>
      <c r="B13" s="151"/>
      <c r="C13" s="152"/>
      <c r="D13" s="80" t="s">
        <v>12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12</v>
      </c>
      <c r="K13" s="80" t="s">
        <v>12</v>
      </c>
      <c r="L13" s="16" t="s">
        <v>12</v>
      </c>
      <c r="M13" s="16" t="s">
        <v>12</v>
      </c>
      <c r="N13" s="16" t="s">
        <v>12</v>
      </c>
      <c r="O13" s="16" t="s">
        <v>12</v>
      </c>
      <c r="P13" s="16" t="s">
        <v>12</v>
      </c>
      <c r="Q13" s="16" t="s">
        <v>12</v>
      </c>
      <c r="R13" s="16" t="s">
        <v>12</v>
      </c>
      <c r="S13" s="16" t="s">
        <v>12</v>
      </c>
      <c r="T13" s="16" t="s">
        <v>12</v>
      </c>
      <c r="U13" s="16" t="s">
        <v>12</v>
      </c>
      <c r="V13" s="16" t="s">
        <v>12</v>
      </c>
      <c r="W13" s="16" t="s">
        <v>12</v>
      </c>
      <c r="X13" s="16" t="s">
        <v>12</v>
      </c>
      <c r="Y13" s="16" t="s">
        <v>12</v>
      </c>
      <c r="Z13" s="16" t="s">
        <v>12</v>
      </c>
      <c r="AA13" s="16" t="s">
        <v>12</v>
      </c>
      <c r="AB13" s="16" t="s">
        <v>12</v>
      </c>
      <c r="AC13" s="16" t="s">
        <v>12</v>
      </c>
      <c r="AD13" s="16" t="s">
        <v>12</v>
      </c>
      <c r="AE13" s="80" t="s">
        <v>12</v>
      </c>
      <c r="AF13" s="80" t="s">
        <v>12</v>
      </c>
      <c r="AG13" s="80" t="s">
        <v>12</v>
      </c>
      <c r="AH13" s="80" t="s">
        <v>12</v>
      </c>
      <c r="AI13" s="21">
        <f t="shared" si="0"/>
        <v>0</v>
      </c>
    </row>
    <row r="14" spans="1:44" ht="15.75" customHeight="1" x14ac:dyDescent="0.25">
      <c r="A14" s="138" t="s">
        <v>18</v>
      </c>
      <c r="B14" s="139"/>
      <c r="C14" s="140"/>
      <c r="D14" s="73" t="s">
        <v>12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12</v>
      </c>
      <c r="K14" s="73" t="s">
        <v>12</v>
      </c>
      <c r="L14" s="73" t="s">
        <v>12</v>
      </c>
      <c r="M14" s="16" t="s">
        <v>12</v>
      </c>
      <c r="N14" s="16" t="s">
        <v>12</v>
      </c>
      <c r="O14" s="16" t="s">
        <v>12</v>
      </c>
      <c r="P14" s="16" t="s">
        <v>12</v>
      </c>
      <c r="Q14" s="16" t="s">
        <v>12</v>
      </c>
      <c r="R14" s="16" t="s">
        <v>12</v>
      </c>
      <c r="S14" s="16" t="s">
        <v>12</v>
      </c>
      <c r="T14" s="16" t="s">
        <v>12</v>
      </c>
      <c r="U14" s="16" t="s">
        <v>12</v>
      </c>
      <c r="V14" s="16" t="s">
        <v>12</v>
      </c>
      <c r="W14" s="16" t="s">
        <v>12</v>
      </c>
      <c r="X14" s="16" t="s">
        <v>12</v>
      </c>
      <c r="Y14" s="16" t="s">
        <v>12</v>
      </c>
      <c r="Z14" s="16" t="s">
        <v>12</v>
      </c>
      <c r="AA14" s="16" t="s">
        <v>12</v>
      </c>
      <c r="AB14" s="16" t="s">
        <v>12</v>
      </c>
      <c r="AC14" s="16" t="s">
        <v>12</v>
      </c>
      <c r="AD14" s="16" t="s">
        <v>12</v>
      </c>
      <c r="AE14" s="73" t="s">
        <v>12</v>
      </c>
      <c r="AF14" s="73" t="s">
        <v>12</v>
      </c>
      <c r="AG14" s="73" t="s">
        <v>12</v>
      </c>
      <c r="AH14" s="73" t="s">
        <v>12</v>
      </c>
      <c r="AI14" s="17">
        <f t="shared" si="0"/>
        <v>0</v>
      </c>
    </row>
    <row r="15" spans="1:44" ht="15.75" customHeight="1" x14ac:dyDescent="0.25">
      <c r="A15" s="147" t="s">
        <v>19</v>
      </c>
      <c r="B15" s="148"/>
      <c r="C15" s="149"/>
      <c r="D15" s="20" t="s">
        <v>12</v>
      </c>
      <c r="E15" s="20" t="s">
        <v>12</v>
      </c>
      <c r="F15" s="20" t="s">
        <v>12</v>
      </c>
      <c r="G15" s="20" t="s">
        <v>12</v>
      </c>
      <c r="H15" s="20" t="s">
        <v>12</v>
      </c>
      <c r="I15" s="20" t="s">
        <v>12</v>
      </c>
      <c r="J15" s="20" t="s">
        <v>12</v>
      </c>
      <c r="K15" s="20" t="s">
        <v>12</v>
      </c>
      <c r="L15" s="20" t="s">
        <v>12</v>
      </c>
      <c r="M15" s="20" t="s">
        <v>12</v>
      </c>
      <c r="N15" s="20" t="s">
        <v>12</v>
      </c>
      <c r="O15" s="20" t="s">
        <v>12</v>
      </c>
      <c r="P15" s="20" t="s">
        <v>12</v>
      </c>
      <c r="Q15" s="20" t="s">
        <v>12</v>
      </c>
      <c r="R15" s="20" t="s">
        <v>12</v>
      </c>
      <c r="S15" s="20" t="s">
        <v>12</v>
      </c>
      <c r="T15" s="20" t="s">
        <v>12</v>
      </c>
      <c r="U15" s="20" t="s">
        <v>12</v>
      </c>
      <c r="V15" s="20" t="s">
        <v>12</v>
      </c>
      <c r="W15" s="20" t="s">
        <v>12</v>
      </c>
      <c r="X15" s="20" t="s">
        <v>12</v>
      </c>
      <c r="Y15" s="20" t="s">
        <v>12</v>
      </c>
      <c r="Z15" s="20" t="s">
        <v>12</v>
      </c>
      <c r="AA15" s="20" t="s">
        <v>12</v>
      </c>
      <c r="AB15" s="20" t="s">
        <v>12</v>
      </c>
      <c r="AC15" s="20" t="s">
        <v>12</v>
      </c>
      <c r="AD15" s="20" t="s">
        <v>12</v>
      </c>
      <c r="AE15" s="20" t="s">
        <v>12</v>
      </c>
      <c r="AF15" s="20" t="s">
        <v>12</v>
      </c>
      <c r="AG15" s="20" t="s">
        <v>12</v>
      </c>
      <c r="AH15" s="20" t="s">
        <v>12</v>
      </c>
      <c r="AI15" s="13">
        <f t="shared" si="0"/>
        <v>0</v>
      </c>
    </row>
    <row r="16" spans="1:44" ht="15.75" customHeight="1" x14ac:dyDescent="0.25">
      <c r="A16" s="150" t="s">
        <v>20</v>
      </c>
      <c r="B16" s="151"/>
      <c r="C16" s="152"/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 t="s">
        <v>12</v>
      </c>
      <c r="M16" s="16" t="s">
        <v>12</v>
      </c>
      <c r="N16" s="16" t="s">
        <v>12</v>
      </c>
      <c r="O16" s="16" t="s">
        <v>12</v>
      </c>
      <c r="P16" s="16" t="s">
        <v>12</v>
      </c>
      <c r="Q16" s="16" t="s">
        <v>12</v>
      </c>
      <c r="R16" s="16" t="s">
        <v>12</v>
      </c>
      <c r="S16" s="16" t="s">
        <v>12</v>
      </c>
      <c r="T16" s="16" t="s">
        <v>12</v>
      </c>
      <c r="U16" s="16" t="s">
        <v>12</v>
      </c>
      <c r="V16" s="16" t="s">
        <v>12</v>
      </c>
      <c r="W16" s="16" t="s">
        <v>12</v>
      </c>
      <c r="X16" s="16" t="s">
        <v>12</v>
      </c>
      <c r="Y16" s="16" t="s">
        <v>12</v>
      </c>
      <c r="Z16" s="16" t="s">
        <v>12</v>
      </c>
      <c r="AA16" s="16" t="s">
        <v>12</v>
      </c>
      <c r="AB16" s="16" t="s">
        <v>12</v>
      </c>
      <c r="AC16" s="16" t="s">
        <v>12</v>
      </c>
      <c r="AD16" s="16" t="s">
        <v>12</v>
      </c>
      <c r="AE16" s="16" t="s">
        <v>12</v>
      </c>
      <c r="AF16" s="16" t="s">
        <v>12</v>
      </c>
      <c r="AG16" s="16" t="s">
        <v>12</v>
      </c>
      <c r="AH16" s="16" t="s">
        <v>12</v>
      </c>
      <c r="AI16" s="21">
        <f t="shared" si="0"/>
        <v>0</v>
      </c>
    </row>
    <row r="17" spans="1:35" ht="15.75" customHeight="1" x14ac:dyDescent="0.25">
      <c r="A17" s="138" t="s">
        <v>92</v>
      </c>
      <c r="B17" s="139"/>
      <c r="C17" s="140"/>
      <c r="D17" s="16" t="s">
        <v>12</v>
      </c>
      <c r="E17" s="16" t="s">
        <v>12</v>
      </c>
      <c r="F17" s="16" t="s">
        <v>12</v>
      </c>
      <c r="G17" s="16" t="s">
        <v>12</v>
      </c>
      <c r="H17" s="16" t="s">
        <v>12</v>
      </c>
      <c r="I17" s="16" t="s">
        <v>12</v>
      </c>
      <c r="J17" s="16" t="s">
        <v>12</v>
      </c>
      <c r="K17" s="16" t="s">
        <v>12</v>
      </c>
      <c r="L17" s="16" t="s">
        <v>12</v>
      </c>
      <c r="M17" s="16" t="s">
        <v>12</v>
      </c>
      <c r="N17" s="16" t="s">
        <v>12</v>
      </c>
      <c r="O17" s="16" t="s">
        <v>12</v>
      </c>
      <c r="P17" s="16" t="s">
        <v>12</v>
      </c>
      <c r="Q17" s="16" t="s">
        <v>12</v>
      </c>
      <c r="R17" s="16" t="s">
        <v>12</v>
      </c>
      <c r="S17" s="16" t="s">
        <v>12</v>
      </c>
      <c r="T17" s="16" t="s">
        <v>12</v>
      </c>
      <c r="U17" s="16" t="s">
        <v>12</v>
      </c>
      <c r="V17" s="16" t="s">
        <v>12</v>
      </c>
      <c r="W17" s="16" t="s">
        <v>12</v>
      </c>
      <c r="X17" s="16" t="s">
        <v>12</v>
      </c>
      <c r="Y17" s="16" t="s">
        <v>12</v>
      </c>
      <c r="Z17" s="16" t="s">
        <v>12</v>
      </c>
      <c r="AA17" s="16" t="s">
        <v>12</v>
      </c>
      <c r="AB17" s="16" t="s">
        <v>12</v>
      </c>
      <c r="AC17" s="16" t="s">
        <v>12</v>
      </c>
      <c r="AD17" s="16" t="s">
        <v>12</v>
      </c>
      <c r="AE17" s="16" t="s">
        <v>12</v>
      </c>
      <c r="AF17" s="16" t="s">
        <v>12</v>
      </c>
      <c r="AG17" s="16" t="s">
        <v>12</v>
      </c>
      <c r="AH17" s="16" t="s">
        <v>12</v>
      </c>
      <c r="AI17" s="17">
        <f t="shared" si="0"/>
        <v>0</v>
      </c>
    </row>
    <row r="18" spans="1:35" ht="15.75" customHeight="1" x14ac:dyDescent="0.25">
      <c r="A18" s="147" t="s">
        <v>21</v>
      </c>
      <c r="B18" s="148"/>
      <c r="C18" s="149"/>
      <c r="D18" s="22" t="s">
        <v>12</v>
      </c>
      <c r="E18" s="22" t="s">
        <v>12</v>
      </c>
      <c r="F18" s="22" t="s">
        <v>12</v>
      </c>
      <c r="G18" s="22" t="s">
        <v>12</v>
      </c>
      <c r="H18" s="22" t="s">
        <v>12</v>
      </c>
      <c r="I18" s="22" t="s">
        <v>12</v>
      </c>
      <c r="J18" s="22" t="s">
        <v>22</v>
      </c>
      <c r="K18" s="79" t="s">
        <v>22</v>
      </c>
      <c r="L18" s="79" t="s">
        <v>22</v>
      </c>
      <c r="M18" s="79" t="s">
        <v>22</v>
      </c>
      <c r="N18" s="79" t="s">
        <v>12</v>
      </c>
      <c r="O18" s="79" t="s">
        <v>12</v>
      </c>
      <c r="P18" s="79" t="s">
        <v>12</v>
      </c>
      <c r="Q18" s="79" t="s">
        <v>12</v>
      </c>
      <c r="R18" s="79" t="s">
        <v>12</v>
      </c>
      <c r="S18" s="79" t="s">
        <v>12</v>
      </c>
      <c r="T18" s="79" t="s">
        <v>12</v>
      </c>
      <c r="U18" s="22" t="s">
        <v>22</v>
      </c>
      <c r="V18" s="22" t="s">
        <v>22</v>
      </c>
      <c r="W18" s="22" t="s">
        <v>22</v>
      </c>
      <c r="X18" s="22" t="s">
        <v>22</v>
      </c>
      <c r="Y18" s="22" t="s">
        <v>22</v>
      </c>
      <c r="Z18" s="22" t="s">
        <v>22</v>
      </c>
      <c r="AA18" s="22" t="s">
        <v>22</v>
      </c>
      <c r="AB18" s="22" t="s">
        <v>22</v>
      </c>
      <c r="AC18" s="22" t="s">
        <v>22</v>
      </c>
      <c r="AD18" s="22" t="s">
        <v>22</v>
      </c>
      <c r="AE18" s="20" t="s">
        <v>22</v>
      </c>
      <c r="AF18" s="20" t="s">
        <v>22</v>
      </c>
      <c r="AG18" s="20" t="s">
        <v>22</v>
      </c>
      <c r="AH18" s="79" t="s">
        <v>22</v>
      </c>
      <c r="AI18" s="13">
        <f t="shared" si="0"/>
        <v>0.58064516129032262</v>
      </c>
    </row>
    <row r="19" spans="1:35" ht="15.75" customHeight="1" x14ac:dyDescent="0.25">
      <c r="A19" s="150" t="s">
        <v>23</v>
      </c>
      <c r="B19" s="151"/>
      <c r="C19" s="152"/>
      <c r="D19" s="23" t="s">
        <v>12</v>
      </c>
      <c r="E19" s="23" t="s">
        <v>12</v>
      </c>
      <c r="F19" s="23" t="s">
        <v>12</v>
      </c>
      <c r="G19" s="23" t="s">
        <v>12</v>
      </c>
      <c r="H19" s="23" t="s">
        <v>12</v>
      </c>
      <c r="I19" s="23" t="s">
        <v>12</v>
      </c>
      <c r="J19" s="23" t="s">
        <v>22</v>
      </c>
      <c r="K19" s="80" t="s">
        <v>22</v>
      </c>
      <c r="L19" s="80" t="s">
        <v>22</v>
      </c>
      <c r="M19" s="80" t="s">
        <v>22</v>
      </c>
      <c r="N19" s="80" t="s">
        <v>12</v>
      </c>
      <c r="O19" s="80" t="s">
        <v>12</v>
      </c>
      <c r="P19" s="80" t="s">
        <v>12</v>
      </c>
      <c r="Q19" s="80" t="s">
        <v>12</v>
      </c>
      <c r="R19" s="80" t="s">
        <v>12</v>
      </c>
      <c r="S19" s="80" t="s">
        <v>12</v>
      </c>
      <c r="T19" s="80" t="s">
        <v>12</v>
      </c>
      <c r="U19" s="23" t="s">
        <v>22</v>
      </c>
      <c r="V19" s="23" t="s">
        <v>22</v>
      </c>
      <c r="W19" s="23" t="s">
        <v>22</v>
      </c>
      <c r="X19" s="23" t="s">
        <v>22</v>
      </c>
      <c r="Y19" s="23" t="s">
        <v>22</v>
      </c>
      <c r="Z19" s="23" t="s">
        <v>22</v>
      </c>
      <c r="AA19" s="23" t="s">
        <v>22</v>
      </c>
      <c r="AB19" s="23" t="s">
        <v>22</v>
      </c>
      <c r="AC19" s="23" t="s">
        <v>22</v>
      </c>
      <c r="AD19" s="23" t="s">
        <v>22</v>
      </c>
      <c r="AE19" s="16" t="s">
        <v>22</v>
      </c>
      <c r="AF19" s="16" t="s">
        <v>22</v>
      </c>
      <c r="AG19" s="16" t="s">
        <v>22</v>
      </c>
      <c r="AH19" s="16" t="s">
        <v>22</v>
      </c>
      <c r="AI19" s="21">
        <f t="shared" si="0"/>
        <v>0.58064516129032262</v>
      </c>
    </row>
    <row r="20" spans="1:35" ht="15.75" customHeight="1" x14ac:dyDescent="0.25">
      <c r="A20" s="150" t="s">
        <v>24</v>
      </c>
      <c r="B20" s="151"/>
      <c r="C20" s="152"/>
      <c r="D20" s="23" t="s">
        <v>12</v>
      </c>
      <c r="E20" s="23" t="s">
        <v>12</v>
      </c>
      <c r="F20" s="23" t="s">
        <v>12</v>
      </c>
      <c r="G20" s="23" t="s">
        <v>12</v>
      </c>
      <c r="H20" s="23" t="s">
        <v>12</v>
      </c>
      <c r="I20" s="23" t="s">
        <v>12</v>
      </c>
      <c r="J20" s="23" t="s">
        <v>22</v>
      </c>
      <c r="K20" s="80" t="s">
        <v>22</v>
      </c>
      <c r="L20" s="80" t="s">
        <v>22</v>
      </c>
      <c r="M20" s="80" t="s">
        <v>22</v>
      </c>
      <c r="N20" s="80" t="s">
        <v>12</v>
      </c>
      <c r="O20" s="80" t="s">
        <v>12</v>
      </c>
      <c r="P20" s="80" t="s">
        <v>12</v>
      </c>
      <c r="Q20" s="80" t="s">
        <v>12</v>
      </c>
      <c r="R20" s="80" t="s">
        <v>12</v>
      </c>
      <c r="S20" s="80" t="s">
        <v>12</v>
      </c>
      <c r="T20" s="80" t="s">
        <v>12</v>
      </c>
      <c r="U20" s="23" t="s">
        <v>22</v>
      </c>
      <c r="V20" s="23" t="s">
        <v>22</v>
      </c>
      <c r="W20" s="23" t="s">
        <v>22</v>
      </c>
      <c r="X20" s="23" t="s">
        <v>22</v>
      </c>
      <c r="Y20" s="23" t="s">
        <v>22</v>
      </c>
      <c r="Z20" s="23" t="s">
        <v>22</v>
      </c>
      <c r="AA20" s="23" t="s">
        <v>22</v>
      </c>
      <c r="AB20" s="23" t="s">
        <v>22</v>
      </c>
      <c r="AC20" s="23" t="s">
        <v>22</v>
      </c>
      <c r="AD20" s="23" t="s">
        <v>22</v>
      </c>
      <c r="AE20" s="16" t="s">
        <v>22</v>
      </c>
      <c r="AF20" s="16" t="s">
        <v>22</v>
      </c>
      <c r="AG20" s="16" t="s">
        <v>22</v>
      </c>
      <c r="AH20" s="16" t="s">
        <v>22</v>
      </c>
      <c r="AI20" s="21">
        <f t="shared" si="0"/>
        <v>0.58064516129032262</v>
      </c>
    </row>
    <row r="21" spans="1:35" ht="15.75" customHeight="1" x14ac:dyDescent="0.25">
      <c r="A21" s="138" t="s">
        <v>25</v>
      </c>
      <c r="B21" s="139"/>
      <c r="C21" s="140"/>
      <c r="D21" s="14" t="s">
        <v>12</v>
      </c>
      <c r="E21" s="14" t="s">
        <v>12</v>
      </c>
      <c r="F21" s="14" t="s">
        <v>12</v>
      </c>
      <c r="G21" s="14" t="s">
        <v>12</v>
      </c>
      <c r="H21" s="14" t="s">
        <v>12</v>
      </c>
      <c r="I21" s="14" t="s">
        <v>12</v>
      </c>
      <c r="J21" s="14" t="s">
        <v>22</v>
      </c>
      <c r="K21" s="73" t="s">
        <v>22</v>
      </c>
      <c r="L21" s="73" t="s">
        <v>22</v>
      </c>
      <c r="M21" s="73" t="s">
        <v>22</v>
      </c>
      <c r="N21" s="73" t="s">
        <v>12</v>
      </c>
      <c r="O21" s="73" t="s">
        <v>12</v>
      </c>
      <c r="P21" s="73" t="s">
        <v>11</v>
      </c>
      <c r="Q21" s="73" t="s">
        <v>12</v>
      </c>
      <c r="R21" s="73" t="s">
        <v>12</v>
      </c>
      <c r="S21" s="73" t="s">
        <v>12</v>
      </c>
      <c r="T21" s="73" t="s">
        <v>12</v>
      </c>
      <c r="U21" s="14" t="s">
        <v>22</v>
      </c>
      <c r="V21" s="14" t="s">
        <v>22</v>
      </c>
      <c r="W21" s="14" t="s">
        <v>22</v>
      </c>
      <c r="X21" s="14" t="s">
        <v>22</v>
      </c>
      <c r="Y21" s="14" t="s">
        <v>22</v>
      </c>
      <c r="Z21" s="14" t="s">
        <v>22</v>
      </c>
      <c r="AA21" s="14" t="s">
        <v>22</v>
      </c>
      <c r="AB21" s="14" t="s">
        <v>22</v>
      </c>
      <c r="AC21" s="14" t="s">
        <v>22</v>
      </c>
      <c r="AD21" s="14" t="s">
        <v>22</v>
      </c>
      <c r="AE21" s="15" t="s">
        <v>22</v>
      </c>
      <c r="AF21" s="15" t="s">
        <v>22</v>
      </c>
      <c r="AG21" s="15" t="s">
        <v>22</v>
      </c>
      <c r="AH21" s="73" t="s">
        <v>22</v>
      </c>
      <c r="AI21" s="17">
        <f t="shared" si="0"/>
        <v>0.61290322580645162</v>
      </c>
    </row>
    <row r="22" spans="1:35" ht="15.75" customHeight="1" x14ac:dyDescent="0.25">
      <c r="A22" s="144" t="s">
        <v>26</v>
      </c>
      <c r="B22" s="145"/>
      <c r="C22" s="146"/>
      <c r="D22" s="24" t="s">
        <v>12</v>
      </c>
      <c r="E22" s="24" t="s">
        <v>12</v>
      </c>
      <c r="F22" s="24" t="s">
        <v>12</v>
      </c>
      <c r="G22" s="24" t="s">
        <v>12</v>
      </c>
      <c r="H22" s="24" t="s">
        <v>12</v>
      </c>
      <c r="I22" s="24" t="s">
        <v>12</v>
      </c>
      <c r="J22" s="24" t="s">
        <v>22</v>
      </c>
      <c r="K22" s="81" t="s">
        <v>22</v>
      </c>
      <c r="L22" s="81" t="s">
        <v>22</v>
      </c>
      <c r="M22" s="81" t="s">
        <v>11</v>
      </c>
      <c r="N22" s="81" t="s">
        <v>22</v>
      </c>
      <c r="O22" s="81" t="s">
        <v>22</v>
      </c>
      <c r="P22" s="81" t="s">
        <v>22</v>
      </c>
      <c r="Q22" s="81" t="s">
        <v>12</v>
      </c>
      <c r="R22" s="81" t="s">
        <v>12</v>
      </c>
      <c r="S22" s="81" t="s">
        <v>11</v>
      </c>
      <c r="T22" s="81" t="s">
        <v>12</v>
      </c>
      <c r="U22" s="24" t="s">
        <v>12</v>
      </c>
      <c r="V22" s="24" t="s">
        <v>12</v>
      </c>
      <c r="W22" s="24" t="s">
        <v>22</v>
      </c>
      <c r="X22" s="24" t="s">
        <v>12</v>
      </c>
      <c r="Y22" s="24" t="s">
        <v>22</v>
      </c>
      <c r="Z22" s="24" t="s">
        <v>22</v>
      </c>
      <c r="AA22" s="24" t="s">
        <v>11</v>
      </c>
      <c r="AB22" s="24" t="s">
        <v>11</v>
      </c>
      <c r="AC22" s="24" t="s">
        <v>22</v>
      </c>
      <c r="AD22" s="24" t="s">
        <v>22</v>
      </c>
      <c r="AE22" s="81" t="s">
        <v>12</v>
      </c>
      <c r="AF22" s="81" t="s">
        <v>12</v>
      </c>
      <c r="AG22" s="81" t="s">
        <v>22</v>
      </c>
      <c r="AH22" s="81" t="s">
        <v>22</v>
      </c>
      <c r="AI22" s="19">
        <f t="shared" si="0"/>
        <v>0.54838709677419351</v>
      </c>
    </row>
    <row r="23" spans="1:35" ht="15.75" customHeight="1" x14ac:dyDescent="0.25">
      <c r="A23" s="147" t="s">
        <v>27</v>
      </c>
      <c r="B23" s="148"/>
      <c r="C23" s="149"/>
      <c r="D23" s="79" t="s">
        <v>12</v>
      </c>
      <c r="E23" s="79" t="s">
        <v>12</v>
      </c>
      <c r="F23" s="79" t="s">
        <v>12</v>
      </c>
      <c r="G23" s="79" t="s">
        <v>12</v>
      </c>
      <c r="H23" s="79" t="s">
        <v>12</v>
      </c>
      <c r="I23" s="79" t="s">
        <v>12</v>
      </c>
      <c r="J23" s="79" t="s">
        <v>12</v>
      </c>
      <c r="K23" s="20" t="s">
        <v>12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12</v>
      </c>
      <c r="Q23" s="20" t="s">
        <v>12</v>
      </c>
      <c r="R23" s="20" t="s">
        <v>12</v>
      </c>
      <c r="S23" s="20" t="s">
        <v>12</v>
      </c>
      <c r="T23" s="20" t="s">
        <v>12</v>
      </c>
      <c r="U23" s="79" t="s">
        <v>12</v>
      </c>
      <c r="V23" s="79" t="s">
        <v>12</v>
      </c>
      <c r="W23" s="79" t="s">
        <v>12</v>
      </c>
      <c r="X23" s="79" t="s">
        <v>11</v>
      </c>
      <c r="Y23" s="79" t="s">
        <v>11</v>
      </c>
      <c r="Z23" s="79" t="s">
        <v>11</v>
      </c>
      <c r="AA23" s="79" t="s">
        <v>11</v>
      </c>
      <c r="AB23" s="79" t="s">
        <v>11</v>
      </c>
      <c r="AC23" s="22" t="s">
        <v>12</v>
      </c>
      <c r="AD23" s="22" t="s">
        <v>12</v>
      </c>
      <c r="AE23" s="22" t="s">
        <v>12</v>
      </c>
      <c r="AF23" s="22" t="s">
        <v>12</v>
      </c>
      <c r="AG23" s="22" t="s">
        <v>12</v>
      </c>
      <c r="AH23" s="20" t="s">
        <v>12</v>
      </c>
      <c r="AI23" s="13">
        <f t="shared" si="0"/>
        <v>0.29032258064516131</v>
      </c>
    </row>
    <row r="24" spans="1:35" ht="15.75" customHeight="1" x14ac:dyDescent="0.25">
      <c r="A24" s="138" t="s">
        <v>28</v>
      </c>
      <c r="B24" s="139"/>
      <c r="C24" s="140"/>
      <c r="D24" s="73" t="s">
        <v>12</v>
      </c>
      <c r="E24" s="73" t="s">
        <v>12</v>
      </c>
      <c r="F24" s="73" t="s">
        <v>12</v>
      </c>
      <c r="G24" s="73" t="s">
        <v>12</v>
      </c>
      <c r="H24" s="73" t="s">
        <v>12</v>
      </c>
      <c r="I24" s="73" t="s">
        <v>12</v>
      </c>
      <c r="J24" s="73" t="s">
        <v>12</v>
      </c>
      <c r="K24" s="15" t="s">
        <v>12</v>
      </c>
      <c r="L24" s="15" t="s">
        <v>11</v>
      </c>
      <c r="M24" s="15" t="s">
        <v>11</v>
      </c>
      <c r="N24" s="15" t="s">
        <v>11</v>
      </c>
      <c r="O24" s="15" t="s">
        <v>11</v>
      </c>
      <c r="P24" s="15" t="s">
        <v>12</v>
      </c>
      <c r="Q24" s="15" t="s">
        <v>12</v>
      </c>
      <c r="R24" s="15" t="s">
        <v>12</v>
      </c>
      <c r="S24" s="15" t="s">
        <v>12</v>
      </c>
      <c r="T24" s="15" t="s">
        <v>12</v>
      </c>
      <c r="U24" s="73" t="s">
        <v>12</v>
      </c>
      <c r="V24" s="73" t="s">
        <v>12</v>
      </c>
      <c r="W24" s="73" t="s">
        <v>12</v>
      </c>
      <c r="X24" s="73" t="s">
        <v>11</v>
      </c>
      <c r="Y24" s="73" t="s">
        <v>11</v>
      </c>
      <c r="Z24" s="73" t="s">
        <v>11</v>
      </c>
      <c r="AA24" s="73" t="s">
        <v>11</v>
      </c>
      <c r="AB24" s="73" t="s">
        <v>11</v>
      </c>
      <c r="AC24" s="14" t="s">
        <v>12</v>
      </c>
      <c r="AD24" s="14" t="s">
        <v>12</v>
      </c>
      <c r="AE24" s="14" t="s">
        <v>12</v>
      </c>
      <c r="AF24" s="14" t="s">
        <v>12</v>
      </c>
      <c r="AG24" s="14" t="s">
        <v>12</v>
      </c>
      <c r="AH24" s="15" t="s">
        <v>12</v>
      </c>
      <c r="AI24" s="17">
        <f t="shared" si="0"/>
        <v>0.29032258064516131</v>
      </c>
    </row>
    <row r="25" spans="1:35" ht="15.75" customHeight="1" x14ac:dyDescent="0.25">
      <c r="A25" s="144" t="s">
        <v>29</v>
      </c>
      <c r="B25" s="145"/>
      <c r="C25" s="146"/>
      <c r="D25" s="26" t="s">
        <v>22</v>
      </c>
      <c r="E25" s="26" t="s">
        <v>22</v>
      </c>
      <c r="F25" s="26" t="s">
        <v>22</v>
      </c>
      <c r="G25" s="26" t="s">
        <v>22</v>
      </c>
      <c r="H25" s="26" t="s">
        <v>22</v>
      </c>
      <c r="I25" s="26" t="s">
        <v>22</v>
      </c>
      <c r="J25" s="26" t="s">
        <v>22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22</v>
      </c>
      <c r="Q25" s="25" t="s">
        <v>12</v>
      </c>
      <c r="R25" s="25" t="s">
        <v>12</v>
      </c>
      <c r="S25" s="25" t="s">
        <v>12</v>
      </c>
      <c r="T25" s="25" t="s">
        <v>11</v>
      </c>
      <c r="U25" s="25" t="s">
        <v>11</v>
      </c>
      <c r="V25" s="25" t="s">
        <v>11</v>
      </c>
      <c r="W25" s="25" t="s">
        <v>22</v>
      </c>
      <c r="X25" s="25" t="s">
        <v>22</v>
      </c>
      <c r="Y25" s="25" t="s">
        <v>22</v>
      </c>
      <c r="Z25" s="25" t="s">
        <v>22</v>
      </c>
      <c r="AA25" s="25" t="s">
        <v>22</v>
      </c>
      <c r="AB25" s="25" t="s">
        <v>22</v>
      </c>
      <c r="AC25" s="26" t="s">
        <v>22</v>
      </c>
      <c r="AD25" s="26" t="s">
        <v>22</v>
      </c>
      <c r="AE25" s="81" t="s">
        <v>22</v>
      </c>
      <c r="AF25" s="81" t="s">
        <v>22</v>
      </c>
      <c r="AG25" s="81" t="s">
        <v>22</v>
      </c>
      <c r="AH25" s="25" t="s">
        <v>22</v>
      </c>
      <c r="AI25" s="19">
        <f t="shared" si="0"/>
        <v>0.90322580645161288</v>
      </c>
    </row>
    <row r="26" spans="1:35" ht="15.75" customHeight="1" x14ac:dyDescent="0.25">
      <c r="A26" s="144" t="s">
        <v>30</v>
      </c>
      <c r="B26" s="145"/>
      <c r="C26" s="146"/>
      <c r="D26" s="81" t="s">
        <v>22</v>
      </c>
      <c r="E26" s="81" t="s">
        <v>22</v>
      </c>
      <c r="F26" s="81" t="s">
        <v>22</v>
      </c>
      <c r="G26" s="81" t="s">
        <v>22</v>
      </c>
      <c r="H26" s="81" t="s">
        <v>22</v>
      </c>
      <c r="I26" s="81" t="s">
        <v>22</v>
      </c>
      <c r="J26" s="81" t="s">
        <v>22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22</v>
      </c>
      <c r="Q26" s="81" t="s">
        <v>12</v>
      </c>
      <c r="R26" s="81" t="s">
        <v>12</v>
      </c>
      <c r="S26" s="81" t="s">
        <v>12</v>
      </c>
      <c r="T26" s="81" t="s">
        <v>11</v>
      </c>
      <c r="U26" s="81" t="s">
        <v>11</v>
      </c>
      <c r="V26" s="81" t="s">
        <v>11</v>
      </c>
      <c r="W26" s="81" t="s">
        <v>22</v>
      </c>
      <c r="X26" s="81" t="s">
        <v>22</v>
      </c>
      <c r="Y26" s="81" t="s">
        <v>22</v>
      </c>
      <c r="Z26" s="81" t="s">
        <v>22</v>
      </c>
      <c r="AA26" s="81" t="s">
        <v>22</v>
      </c>
      <c r="AB26" s="81" t="s">
        <v>22</v>
      </c>
      <c r="AC26" s="81" t="s">
        <v>22</v>
      </c>
      <c r="AD26" s="81" t="s">
        <v>22</v>
      </c>
      <c r="AE26" s="81" t="s">
        <v>22</v>
      </c>
      <c r="AF26" s="81" t="s">
        <v>22</v>
      </c>
      <c r="AG26" s="81" t="s">
        <v>22</v>
      </c>
      <c r="AH26" s="25" t="s">
        <v>22</v>
      </c>
      <c r="AI26" s="19">
        <f t="shared" si="0"/>
        <v>0.90322580645161288</v>
      </c>
    </row>
    <row r="27" spans="1:35" ht="15.75" customHeight="1" x14ac:dyDescent="0.25">
      <c r="A27" s="141" t="s">
        <v>31</v>
      </c>
      <c r="B27" s="142"/>
      <c r="C27" s="143"/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72" t="s">
        <v>12</v>
      </c>
      <c r="L27" s="72" t="s">
        <v>22</v>
      </c>
      <c r="M27" s="72" t="s">
        <v>22</v>
      </c>
      <c r="N27" s="72" t="s">
        <v>12</v>
      </c>
      <c r="O27" s="72" t="s">
        <v>12</v>
      </c>
      <c r="P27" s="72" t="s">
        <v>12</v>
      </c>
      <c r="Q27" s="72" t="s">
        <v>12</v>
      </c>
      <c r="R27" s="72" t="s">
        <v>12</v>
      </c>
      <c r="S27" s="72" t="s">
        <v>12</v>
      </c>
      <c r="T27" s="72" t="s">
        <v>12</v>
      </c>
      <c r="U27" s="27" t="s">
        <v>22</v>
      </c>
      <c r="V27" s="27" t="s">
        <v>22</v>
      </c>
      <c r="W27" s="27" t="s">
        <v>22</v>
      </c>
      <c r="X27" s="27" t="s">
        <v>22</v>
      </c>
      <c r="Y27" s="27" t="s">
        <v>22</v>
      </c>
      <c r="Z27" s="27" t="s">
        <v>22</v>
      </c>
      <c r="AA27" s="27" t="s">
        <v>22</v>
      </c>
      <c r="AB27" s="27" t="s">
        <v>12</v>
      </c>
      <c r="AC27" s="27" t="s">
        <v>12</v>
      </c>
      <c r="AD27" s="27" t="s">
        <v>12</v>
      </c>
      <c r="AE27" s="72" t="s">
        <v>22</v>
      </c>
      <c r="AF27" s="72" t="s">
        <v>22</v>
      </c>
      <c r="AG27" s="72" t="s">
        <v>22</v>
      </c>
      <c r="AH27" s="72" t="s">
        <v>12</v>
      </c>
      <c r="AI27" s="13">
        <f t="shared" si="0"/>
        <v>0.38709677419354838</v>
      </c>
    </row>
    <row r="28" spans="1:35" ht="15.75" customHeight="1" x14ac:dyDescent="0.25">
      <c r="A28" s="156" t="s">
        <v>32</v>
      </c>
      <c r="B28" s="157"/>
      <c r="C28" s="158"/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82">
        <v>0</v>
      </c>
      <c r="L28" s="82">
        <v>0</v>
      </c>
      <c r="M28" s="82">
        <v>2</v>
      </c>
      <c r="N28" s="28" t="s">
        <v>124</v>
      </c>
      <c r="O28" s="28">
        <v>2</v>
      </c>
      <c r="P28" s="28">
        <v>1.8</v>
      </c>
      <c r="Q28" s="28">
        <v>0</v>
      </c>
      <c r="R28" s="28">
        <v>0</v>
      </c>
      <c r="S28" s="28">
        <v>0</v>
      </c>
      <c r="T28" s="28">
        <v>0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>
        <v>0</v>
      </c>
      <c r="Z28" s="28" t="s">
        <v>124</v>
      </c>
      <c r="AA28" s="28">
        <v>2</v>
      </c>
      <c r="AB28" s="75">
        <v>0</v>
      </c>
      <c r="AC28" s="28">
        <v>0</v>
      </c>
      <c r="AD28" s="28" t="s">
        <v>124</v>
      </c>
      <c r="AE28" s="28">
        <v>2</v>
      </c>
      <c r="AF28" s="28" t="s">
        <v>124</v>
      </c>
      <c r="AG28" s="28" t="s">
        <v>124</v>
      </c>
      <c r="AH28" s="82" t="s">
        <v>124</v>
      </c>
      <c r="AI28" s="17">
        <f>IF(COUNTA(D28:AH28)&gt;0,(COUNTA(D28:AH28)-COUNTIF(D28:AH28,"NB")-COUNTIF(D28:AH28,"DN")-COUNTIF(D28:AH28,"An")-COUNTIF(D28:AH28,"NB^")-COUNTIF(D28:AH28,0))/COUNTA(D28:AH28),"")</f>
        <v>0.4838709677419355</v>
      </c>
    </row>
    <row r="29" spans="1:35" ht="15.75" customHeight="1" x14ac:dyDescent="0.25">
      <c r="A29" s="153" t="s">
        <v>99</v>
      </c>
      <c r="B29" s="154"/>
      <c r="C29" s="155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29">
        <v>0</v>
      </c>
      <c r="AF29" s="29">
        <v>0</v>
      </c>
      <c r="AG29" s="29">
        <v>0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</v>
      </c>
    </row>
    <row r="30" spans="1:35" ht="15.75" customHeight="1" x14ac:dyDescent="0.25">
      <c r="A30" s="165" t="s">
        <v>33</v>
      </c>
      <c r="B30" s="166"/>
      <c r="C30" s="167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22</v>
      </c>
      <c r="K30" s="84" t="s">
        <v>22</v>
      </c>
      <c r="L30" s="84" t="s">
        <v>22</v>
      </c>
      <c r="M30" s="84" t="s">
        <v>22</v>
      </c>
      <c r="N30" s="84" t="s">
        <v>12</v>
      </c>
      <c r="O30" s="84" t="s">
        <v>12</v>
      </c>
      <c r="P30" s="84" t="s">
        <v>12</v>
      </c>
      <c r="Q30" s="84" t="s">
        <v>12</v>
      </c>
      <c r="R30" s="84" t="s">
        <v>12</v>
      </c>
      <c r="S30" s="84" t="s">
        <v>12</v>
      </c>
      <c r="T30" s="84" t="s">
        <v>12</v>
      </c>
      <c r="U30" s="84" t="s">
        <v>22</v>
      </c>
      <c r="V30" s="84" t="s">
        <v>22</v>
      </c>
      <c r="W30" s="84" t="s">
        <v>22</v>
      </c>
      <c r="X30" s="84" t="s">
        <v>22</v>
      </c>
      <c r="Y30" s="84" t="s">
        <v>22</v>
      </c>
      <c r="Z30" s="84" t="s">
        <v>22</v>
      </c>
      <c r="AA30" s="84" t="s">
        <v>22</v>
      </c>
      <c r="AB30" s="84" t="s">
        <v>12</v>
      </c>
      <c r="AC30" s="84" t="s">
        <v>12</v>
      </c>
      <c r="AD30" s="84" t="s">
        <v>12</v>
      </c>
      <c r="AE30" s="84" t="s">
        <v>22</v>
      </c>
      <c r="AF30" s="84" t="s">
        <v>22</v>
      </c>
      <c r="AG30" s="84" t="s">
        <v>22</v>
      </c>
      <c r="AH30" s="84" t="s">
        <v>12</v>
      </c>
      <c r="AI30" s="19">
        <f>IF(COUNTA(D30:AH30)&gt;0,(COUNTA(D30:AH30)-COUNTIF(D30:AH30,"NB")-COUNTIF(D30:AH30,"DN")-COUNTIF(D30:AH30,"An")-COUNTIF(D30:AH30,"NB^")-COUNTIF(D30:AH30,0))/COUNTA(D30:AH30),"")</f>
        <v>0.45161290322580644</v>
      </c>
    </row>
    <row r="31" spans="1:35" ht="15.75" customHeight="1" x14ac:dyDescent="0.25">
      <c r="A31" s="141" t="s">
        <v>34</v>
      </c>
      <c r="B31" s="142"/>
      <c r="C31" s="143"/>
      <c r="D31" s="72" t="s">
        <v>12</v>
      </c>
      <c r="E31" s="72" t="s">
        <v>12</v>
      </c>
      <c r="F31" s="72" t="s">
        <v>12</v>
      </c>
      <c r="G31" s="72" t="s">
        <v>12</v>
      </c>
      <c r="H31" s="72" t="s">
        <v>12</v>
      </c>
      <c r="I31" s="72" t="s">
        <v>12</v>
      </c>
      <c r="J31" s="72" t="s">
        <v>22</v>
      </c>
      <c r="K31" s="72" t="s">
        <v>22</v>
      </c>
      <c r="L31" s="72" t="s">
        <v>22</v>
      </c>
      <c r="M31" s="72" t="s">
        <v>22</v>
      </c>
      <c r="N31" s="72" t="s">
        <v>12</v>
      </c>
      <c r="O31" s="72" t="s">
        <v>12</v>
      </c>
      <c r="P31" s="72" t="s">
        <v>12</v>
      </c>
      <c r="Q31" s="72" t="s">
        <v>12</v>
      </c>
      <c r="R31" s="72" t="s">
        <v>12</v>
      </c>
      <c r="S31" s="72" t="s">
        <v>12</v>
      </c>
      <c r="T31" s="72" t="s">
        <v>12</v>
      </c>
      <c r="U31" s="72" t="s">
        <v>22</v>
      </c>
      <c r="V31" s="72" t="s">
        <v>22</v>
      </c>
      <c r="W31" s="72" t="s">
        <v>22</v>
      </c>
      <c r="X31" s="72" t="s">
        <v>22</v>
      </c>
      <c r="Y31" s="72" t="s">
        <v>22</v>
      </c>
      <c r="Z31" s="72" t="s">
        <v>22</v>
      </c>
      <c r="AA31" s="72" t="s">
        <v>22</v>
      </c>
      <c r="AB31" s="72" t="s">
        <v>12</v>
      </c>
      <c r="AC31" s="72" t="s">
        <v>12</v>
      </c>
      <c r="AD31" s="72" t="s">
        <v>12</v>
      </c>
      <c r="AE31" s="72" t="s">
        <v>22</v>
      </c>
      <c r="AF31" s="72" t="s">
        <v>22</v>
      </c>
      <c r="AG31" s="72" t="s">
        <v>22</v>
      </c>
      <c r="AH31" s="72" t="s">
        <v>12</v>
      </c>
      <c r="AI31" s="13">
        <f>IF(COUNTA(D31:AH31)&gt;0,(COUNTA(D31:AH31)-COUNTIF(D31:AH31,"NB")-COUNTIF(D31:AH31,"DN")-COUNTIF(D31:AH31,"An")-COUNTIF(D31:AH31,"NB^")-COUNTIF(D31:AH31,0))/COUNTA(D31:AH31),"")</f>
        <v>0.45161290322580644</v>
      </c>
    </row>
    <row r="32" spans="1:35" ht="15.75" customHeight="1" x14ac:dyDescent="0.25">
      <c r="A32" s="168" t="s">
        <v>35</v>
      </c>
      <c r="B32" s="169"/>
      <c r="C32" s="170"/>
      <c r="D32" s="85" t="s">
        <v>12</v>
      </c>
      <c r="E32" s="85" t="s">
        <v>12</v>
      </c>
      <c r="F32" s="85" t="s">
        <v>12</v>
      </c>
      <c r="G32" s="85" t="s">
        <v>12</v>
      </c>
      <c r="H32" s="85" t="s">
        <v>12</v>
      </c>
      <c r="I32" s="85" t="s">
        <v>12</v>
      </c>
      <c r="J32" s="85" t="s">
        <v>22</v>
      </c>
      <c r="K32" s="85" t="s">
        <v>22</v>
      </c>
      <c r="L32" s="85" t="s">
        <v>22</v>
      </c>
      <c r="M32" s="85" t="s">
        <v>22</v>
      </c>
      <c r="N32" s="85" t="s">
        <v>12</v>
      </c>
      <c r="O32" s="85" t="s">
        <v>12</v>
      </c>
      <c r="P32" s="85" t="s">
        <v>12</v>
      </c>
      <c r="Q32" s="85" t="s">
        <v>12</v>
      </c>
      <c r="R32" s="85" t="s">
        <v>12</v>
      </c>
      <c r="S32" s="85" t="s">
        <v>12</v>
      </c>
      <c r="T32" s="85" t="s">
        <v>12</v>
      </c>
      <c r="U32" s="85" t="s">
        <v>22</v>
      </c>
      <c r="V32" s="85" t="s">
        <v>22</v>
      </c>
      <c r="W32" s="85" t="s">
        <v>22</v>
      </c>
      <c r="X32" s="85" t="s">
        <v>22</v>
      </c>
      <c r="Y32" s="85" t="s">
        <v>22</v>
      </c>
      <c r="Z32" s="85" t="s">
        <v>22</v>
      </c>
      <c r="AA32" s="85" t="s">
        <v>22</v>
      </c>
      <c r="AB32" s="85" t="s">
        <v>12</v>
      </c>
      <c r="AC32" s="85" t="s">
        <v>12</v>
      </c>
      <c r="AD32" s="85" t="s">
        <v>12</v>
      </c>
      <c r="AE32" s="85" t="s">
        <v>22</v>
      </c>
      <c r="AF32" s="85" t="s">
        <v>22</v>
      </c>
      <c r="AG32" s="85" t="s">
        <v>22</v>
      </c>
      <c r="AH32" s="85" t="s">
        <v>12</v>
      </c>
      <c r="AI32" s="17">
        <f t="shared" si="0"/>
        <v>0.45161290322580644</v>
      </c>
    </row>
    <row r="33" spans="1:44" ht="15.75" customHeight="1" x14ac:dyDescent="0.25">
      <c r="A33" s="144" t="s">
        <v>36</v>
      </c>
      <c r="B33" s="145"/>
      <c r="C33" s="146"/>
      <c r="D33" s="25" t="s">
        <v>12</v>
      </c>
      <c r="E33" s="25" t="s">
        <v>12</v>
      </c>
      <c r="F33" s="25" t="s">
        <v>12</v>
      </c>
      <c r="G33" s="25" t="s">
        <v>12</v>
      </c>
      <c r="H33" s="25" t="s">
        <v>12</v>
      </c>
      <c r="I33" s="25" t="s">
        <v>12</v>
      </c>
      <c r="J33" s="25" t="s">
        <v>22</v>
      </c>
      <c r="K33" s="81" t="s">
        <v>22</v>
      </c>
      <c r="L33" s="81" t="s">
        <v>22</v>
      </c>
      <c r="M33" s="81" t="s">
        <v>22</v>
      </c>
      <c r="N33" s="81" t="s">
        <v>12</v>
      </c>
      <c r="O33" s="81" t="s">
        <v>12</v>
      </c>
      <c r="P33" s="81" t="s">
        <v>12</v>
      </c>
      <c r="Q33" s="81" t="s">
        <v>12</v>
      </c>
      <c r="R33" s="81" t="s">
        <v>12</v>
      </c>
      <c r="S33" s="81" t="s">
        <v>12</v>
      </c>
      <c r="T33" s="81" t="s">
        <v>12</v>
      </c>
      <c r="U33" s="25" t="s">
        <v>22</v>
      </c>
      <c r="V33" s="25" t="s">
        <v>22</v>
      </c>
      <c r="W33" s="25" t="s">
        <v>22</v>
      </c>
      <c r="X33" s="25" t="s">
        <v>22</v>
      </c>
      <c r="Y33" s="25" t="s">
        <v>22</v>
      </c>
      <c r="Z33" s="25" t="s">
        <v>22</v>
      </c>
      <c r="AA33" s="25" t="s">
        <v>22</v>
      </c>
      <c r="AB33" s="25" t="s">
        <v>12</v>
      </c>
      <c r="AC33" s="25" t="s">
        <v>12</v>
      </c>
      <c r="AD33" s="25" t="s">
        <v>12</v>
      </c>
      <c r="AE33" s="25" t="s">
        <v>22</v>
      </c>
      <c r="AF33" s="25" t="s">
        <v>22</v>
      </c>
      <c r="AG33" s="25" t="s">
        <v>22</v>
      </c>
      <c r="AH33" s="81" t="s">
        <v>12</v>
      </c>
      <c r="AI33" s="19">
        <f t="shared" si="0"/>
        <v>0.45161290322580644</v>
      </c>
    </row>
    <row r="34" spans="1:44" ht="15.75" customHeight="1" x14ac:dyDescent="0.25">
      <c r="A34" s="144" t="s">
        <v>95</v>
      </c>
      <c r="B34" s="145"/>
      <c r="C34" s="146"/>
      <c r="D34" s="24" t="s">
        <v>12</v>
      </c>
      <c r="E34" s="24" t="s">
        <v>12</v>
      </c>
      <c r="F34" s="24" t="s">
        <v>12</v>
      </c>
      <c r="G34" s="24" t="s">
        <v>12</v>
      </c>
      <c r="H34" s="24" t="s">
        <v>12</v>
      </c>
      <c r="I34" s="24" t="s">
        <v>12</v>
      </c>
      <c r="J34" s="24" t="s">
        <v>12</v>
      </c>
      <c r="K34" s="81" t="s">
        <v>22</v>
      </c>
      <c r="L34" s="81" t="s">
        <v>22</v>
      </c>
      <c r="M34" s="81" t="s">
        <v>22</v>
      </c>
      <c r="N34" s="81" t="s">
        <v>12</v>
      </c>
      <c r="O34" s="81" t="s">
        <v>12</v>
      </c>
      <c r="P34" s="81" t="s">
        <v>12</v>
      </c>
      <c r="Q34" s="81" t="s">
        <v>12</v>
      </c>
      <c r="R34" s="81" t="s">
        <v>12</v>
      </c>
      <c r="S34" s="81" t="s">
        <v>12</v>
      </c>
      <c r="T34" s="81" t="s">
        <v>12</v>
      </c>
      <c r="U34" s="24" t="s">
        <v>22</v>
      </c>
      <c r="V34" s="24" t="s">
        <v>22</v>
      </c>
      <c r="W34" s="24" t="s">
        <v>22</v>
      </c>
      <c r="X34" s="24" t="s">
        <v>22</v>
      </c>
      <c r="Y34" s="24" t="s">
        <v>12</v>
      </c>
      <c r="Z34" s="24" t="s">
        <v>12</v>
      </c>
      <c r="AA34" s="24" t="s">
        <v>12</v>
      </c>
      <c r="AB34" s="25" t="s">
        <v>12</v>
      </c>
      <c r="AC34" s="25" t="s">
        <v>12</v>
      </c>
      <c r="AD34" s="25" t="s">
        <v>12</v>
      </c>
      <c r="AE34" s="25" t="s">
        <v>22</v>
      </c>
      <c r="AF34" s="25" t="s">
        <v>22</v>
      </c>
      <c r="AG34" s="25" t="s">
        <v>22</v>
      </c>
      <c r="AH34" s="25" t="s">
        <v>12</v>
      </c>
      <c r="AI34" s="19">
        <f t="shared" si="0"/>
        <v>0.32258064516129031</v>
      </c>
    </row>
    <row r="35" spans="1:44" ht="15.75" customHeight="1" thickBot="1" x14ac:dyDescent="0.3">
      <c r="A35" s="171" t="s">
        <v>96</v>
      </c>
      <c r="B35" s="172"/>
      <c r="C35" s="173"/>
      <c r="D35" s="96" t="s">
        <v>12</v>
      </c>
      <c r="E35" s="96" t="s">
        <v>12</v>
      </c>
      <c r="F35" s="96" t="s">
        <v>12</v>
      </c>
      <c r="G35" s="96" t="s">
        <v>12</v>
      </c>
      <c r="H35" s="96" t="s">
        <v>12</v>
      </c>
      <c r="I35" s="96" t="s">
        <v>12</v>
      </c>
      <c r="J35" s="96" t="s">
        <v>22</v>
      </c>
      <c r="K35" s="95" t="s">
        <v>22</v>
      </c>
      <c r="L35" s="95" t="s">
        <v>22</v>
      </c>
      <c r="M35" s="95" t="s">
        <v>22</v>
      </c>
      <c r="N35" s="95" t="s">
        <v>12</v>
      </c>
      <c r="O35" s="95" t="s">
        <v>12</v>
      </c>
      <c r="P35" s="95" t="s">
        <v>12</v>
      </c>
      <c r="Q35" s="95" t="s">
        <v>12</v>
      </c>
      <c r="R35" s="95" t="s">
        <v>12</v>
      </c>
      <c r="S35" s="95" t="s">
        <v>12</v>
      </c>
      <c r="T35" s="95" t="s">
        <v>12</v>
      </c>
      <c r="U35" s="96" t="s">
        <v>22</v>
      </c>
      <c r="V35" s="96" t="s">
        <v>22</v>
      </c>
      <c r="W35" s="96" t="s">
        <v>22</v>
      </c>
      <c r="X35" s="96" t="s">
        <v>22</v>
      </c>
      <c r="Y35" s="96" t="s">
        <v>12</v>
      </c>
      <c r="Z35" s="96" t="s">
        <v>12</v>
      </c>
      <c r="AA35" s="96" t="s">
        <v>12</v>
      </c>
      <c r="AB35" s="97" t="s">
        <v>12</v>
      </c>
      <c r="AC35" s="97" t="s">
        <v>12</v>
      </c>
      <c r="AD35" s="97" t="s">
        <v>12</v>
      </c>
      <c r="AE35" s="97" t="s">
        <v>22</v>
      </c>
      <c r="AF35" s="97" t="s">
        <v>22</v>
      </c>
      <c r="AG35" s="97" t="s">
        <v>22</v>
      </c>
      <c r="AH35" s="97" t="s">
        <v>12</v>
      </c>
      <c r="AI35" s="98">
        <f t="shared" si="0"/>
        <v>0.35483870967741937</v>
      </c>
    </row>
    <row r="36" spans="1:44" s="32" customFormat="1" ht="15.75" customHeight="1" x14ac:dyDescent="0.25">
      <c r="A36" s="162" t="s">
        <v>37</v>
      </c>
      <c r="B36" s="163"/>
      <c r="C36" s="164"/>
      <c r="D36" s="31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>ANB</v>
      </c>
      <c r="R39" s="38" t="str">
        <f t="shared" si="2"/>
        <v>ANB</v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29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2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AB15:AC17 AE15:AH17">
    <cfRule type="cellIs" dxfId="733" priority="314" stopIfTrue="1" operator="equal">
      <formula>"B"</formula>
    </cfRule>
    <cfRule type="cellIs" dxfId="732" priority="315" stopIfTrue="1" operator="equal">
      <formula>"M"</formula>
    </cfRule>
    <cfRule type="cellIs" dxfId="731" priority="316" stopIfTrue="1" operator="between">
      <formula>"NB"</formula>
      <formula>"NB^"</formula>
    </cfRule>
  </conditionalFormatting>
  <conditionalFormatting sqref="AH27 AH18:AH21">
    <cfRule type="cellIs" dxfId="730" priority="311" stopIfTrue="1" operator="equal">
      <formula>"B"</formula>
    </cfRule>
    <cfRule type="cellIs" dxfId="729" priority="312" stopIfTrue="1" operator="equal">
      <formula>"M"</formula>
    </cfRule>
    <cfRule type="cellIs" dxfId="728" priority="313" stopIfTrue="1" operator="between">
      <formula>"NB"</formula>
      <formula>"NB^"</formula>
    </cfRule>
  </conditionalFormatting>
  <conditionalFormatting sqref="AH6:AH7">
    <cfRule type="cellIs" dxfId="727" priority="308" stopIfTrue="1" operator="equal">
      <formula>"B"</formula>
    </cfRule>
    <cfRule type="cellIs" dxfId="726" priority="309" stopIfTrue="1" operator="equal">
      <formula>"M"</formula>
    </cfRule>
    <cfRule type="cellIs" dxfId="725" priority="310" stopIfTrue="1" operator="between">
      <formula>"NB"</formula>
      <formula>"NB^"</formula>
    </cfRule>
  </conditionalFormatting>
  <conditionalFormatting sqref="AB34:AC34 K34:L34 N34:Q34 AE34:AG34">
    <cfRule type="cellIs" dxfId="724" priority="289" stopIfTrue="1" operator="equal">
      <formula>"B"</formula>
    </cfRule>
    <cfRule type="cellIs" dxfId="723" priority="290" stopIfTrue="1" operator="equal">
      <formula>"M"</formula>
    </cfRule>
    <cfRule type="cellIs" dxfId="722" priority="291" stopIfTrue="1" operator="between">
      <formula>"NB"</formula>
      <formula>"NB^"</formula>
    </cfRule>
  </conditionalFormatting>
  <conditionalFormatting sqref="AH35">
    <cfRule type="cellIs" dxfId="721" priority="286" stopIfTrue="1" operator="equal">
      <formula>"B"</formula>
    </cfRule>
    <cfRule type="cellIs" dxfId="720" priority="287" stopIfTrue="1" operator="equal">
      <formula>"M"</formula>
    </cfRule>
    <cfRule type="cellIs" dxfId="719" priority="288" stopIfTrue="1" operator="between">
      <formula>"NB"</formula>
      <formula>"NB^"</formula>
    </cfRule>
  </conditionalFormatting>
  <conditionalFormatting sqref="AB35:AC35 K35:L35 N35:Q35 AE35:AG35">
    <cfRule type="cellIs" dxfId="718" priority="283" stopIfTrue="1" operator="equal">
      <formula>"B"</formula>
    </cfRule>
    <cfRule type="cellIs" dxfId="717" priority="284" stopIfTrue="1" operator="equal">
      <formula>"M"</formula>
    </cfRule>
    <cfRule type="cellIs" dxfId="716" priority="285" stopIfTrue="1" operator="between">
      <formula>"NB"</formula>
      <formula>"NB^"</formula>
    </cfRule>
  </conditionalFormatting>
  <conditionalFormatting sqref="AH30:AH33 AB30:AC33 AB6:AC7 L6:L7 L9:L14 K30:L33 AB27:AC27 AH9:AH14 K18:L27 N6:Q7 N30:Q33 N18:Q27 AC22:AC26 AE6:AG7 AB18:AG21">
    <cfRule type="cellIs" dxfId="715" priority="324" stopIfTrue="1" operator="equal">
      <formula>"B"</formula>
    </cfRule>
    <cfRule type="cellIs" dxfId="714" priority="325" stopIfTrue="1" operator="equal">
      <formula>"M"</formula>
    </cfRule>
    <cfRule type="cellIs" dxfId="713" priority="326" stopIfTrue="1" operator="between">
      <formula>"NB"</formula>
      <formula>"NB^"</formula>
    </cfRule>
  </conditionalFormatting>
  <conditionalFormatting sqref="AH28 AB28:AC29 K28:L29 N28:Q29">
    <cfRule type="cellIs" dxfId="712" priority="327" stopIfTrue="1" operator="equal">
      <formula>0</formula>
    </cfRule>
  </conditionalFormatting>
  <conditionalFormatting sqref="AH29">
    <cfRule type="cellIs" dxfId="711" priority="323" stopIfTrue="1" operator="equal">
      <formula>0</formula>
    </cfRule>
  </conditionalFormatting>
  <conditionalFormatting sqref="AH22:AH26">
    <cfRule type="cellIs" dxfId="710" priority="302" stopIfTrue="1" operator="equal">
      <formula>"B"</formula>
    </cfRule>
    <cfRule type="cellIs" dxfId="709" priority="303" stopIfTrue="1" operator="equal">
      <formula>"M"</formula>
    </cfRule>
    <cfRule type="cellIs" dxfId="708" priority="304" stopIfTrue="1" operator="between">
      <formula>"NB"</formula>
      <formula>"NB^"</formula>
    </cfRule>
  </conditionalFormatting>
  <conditionalFormatting sqref="AE30:AG33 AE9:AG14 AE22:AG27">
    <cfRule type="cellIs" dxfId="707" priority="295" stopIfTrue="1" operator="equal">
      <formula>"B"</formula>
    </cfRule>
    <cfRule type="cellIs" dxfId="706" priority="296" stopIfTrue="1" operator="equal">
      <formula>"M"</formula>
    </cfRule>
    <cfRule type="cellIs" dxfId="705" priority="297" stopIfTrue="1" operator="between">
      <formula>"NB"</formula>
      <formula>"NB^"</formula>
    </cfRule>
  </conditionalFormatting>
  <conditionalFormatting sqref="AE28:AG29">
    <cfRule type="cellIs" dxfId="704" priority="298" stopIfTrue="1" operator="equal">
      <formula>0</formula>
    </cfRule>
  </conditionalFormatting>
  <conditionalFormatting sqref="AH34">
    <cfRule type="cellIs" dxfId="703" priority="292" stopIfTrue="1" operator="equal">
      <formula>"B"</formula>
    </cfRule>
    <cfRule type="cellIs" dxfId="702" priority="293" stopIfTrue="1" operator="equal">
      <formula>"M"</formula>
    </cfRule>
    <cfRule type="cellIs" dxfId="701" priority="294" stopIfTrue="1" operator="between">
      <formula>"NB"</formula>
      <formula>"NB^"</formula>
    </cfRule>
  </conditionalFormatting>
  <conditionalFormatting sqref="D36:AH36">
    <cfRule type="cellIs" dxfId="700" priority="272" operator="equal">
      <formula>"B"</formula>
    </cfRule>
    <cfRule type="cellIs" dxfId="699" priority="273" operator="equal">
      <formula>0</formula>
    </cfRule>
    <cfRule type="cellIs" dxfId="698" priority="274" operator="equal">
      <formula>"NB"</formula>
    </cfRule>
    <cfRule type="cellIs" dxfId="697" priority="275" operator="equal">
      <formula>"M"</formula>
    </cfRule>
  </conditionalFormatting>
  <conditionalFormatting sqref="L8">
    <cfRule type="cellIs" dxfId="696" priority="239" operator="equal">
      <formula>"B"</formula>
    </cfRule>
    <cfRule type="cellIs" dxfId="695" priority="240" operator="equal">
      <formula>0</formula>
    </cfRule>
    <cfRule type="cellIs" dxfId="694" priority="241" operator="equal">
      <formula>"NB"</formula>
    </cfRule>
    <cfRule type="cellIs" dxfId="693" priority="242" operator="equal">
      <formula>"M"</formula>
    </cfRule>
  </conditionalFormatting>
  <conditionalFormatting sqref="D6:D8 D15:D35">
    <cfRule type="cellIs" dxfId="692" priority="235" operator="equal">
      <formula>"B"</formula>
    </cfRule>
    <cfRule type="cellIs" dxfId="691" priority="236" operator="equal">
      <formula>0</formula>
    </cfRule>
    <cfRule type="cellIs" dxfId="690" priority="237" operator="equal">
      <formula>"NB"</formula>
    </cfRule>
    <cfRule type="cellIs" dxfId="689" priority="238" operator="equal">
      <formula>"M"</formula>
    </cfRule>
  </conditionalFormatting>
  <conditionalFormatting sqref="M34">
    <cfRule type="cellIs" dxfId="688" priority="221" stopIfTrue="1" operator="equal">
      <formula>"B"</formula>
    </cfRule>
    <cfRule type="cellIs" dxfId="687" priority="222" stopIfTrue="1" operator="equal">
      <formula>"M"</formula>
    </cfRule>
    <cfRule type="cellIs" dxfId="686" priority="223" stopIfTrue="1" operator="between">
      <formula>"NB"</formula>
      <formula>"NB^"</formula>
    </cfRule>
  </conditionalFormatting>
  <conditionalFormatting sqref="M35">
    <cfRule type="cellIs" dxfId="685" priority="218" stopIfTrue="1" operator="equal">
      <formula>"B"</formula>
    </cfRule>
    <cfRule type="cellIs" dxfId="684" priority="219" stopIfTrue="1" operator="equal">
      <formula>"M"</formula>
    </cfRule>
    <cfRule type="cellIs" dxfId="683" priority="220" stopIfTrue="1" operator="between">
      <formula>"NB"</formula>
      <formula>"NB^"</formula>
    </cfRule>
  </conditionalFormatting>
  <conditionalFormatting sqref="M18:M27 M6:M7 M30:M33 M9:Q14">
    <cfRule type="cellIs" dxfId="682" priority="227" stopIfTrue="1" operator="equal">
      <formula>"B"</formula>
    </cfRule>
    <cfRule type="cellIs" dxfId="681" priority="228" stopIfTrue="1" operator="equal">
      <formula>"M"</formula>
    </cfRule>
    <cfRule type="cellIs" dxfId="680" priority="229" stopIfTrue="1" operator="between">
      <formula>"NB"</formula>
      <formula>"NB^"</formula>
    </cfRule>
  </conditionalFormatting>
  <conditionalFormatting sqref="M28:M29">
    <cfRule type="cellIs" dxfId="679" priority="230" stopIfTrue="1" operator="equal">
      <formula>0</formula>
    </cfRule>
  </conditionalFormatting>
  <conditionalFormatting sqref="M8:Q8 U8 AB8:AC8 AE8:AH8">
    <cfRule type="cellIs" dxfId="678" priority="214" operator="equal">
      <formula>"B"</formula>
    </cfRule>
    <cfRule type="cellIs" dxfId="677" priority="215" operator="equal">
      <formula>0</formula>
    </cfRule>
    <cfRule type="cellIs" dxfId="676" priority="216" operator="equal">
      <formula>"NB"</formula>
    </cfRule>
    <cfRule type="cellIs" dxfId="675" priority="217" operator="equal">
      <formula>"M"</formula>
    </cfRule>
  </conditionalFormatting>
  <conditionalFormatting sqref="U6:U7 U18:U24 U27:U35">
    <cfRule type="cellIs" dxfId="674" priority="142" operator="equal">
      <formula>"B"</formula>
    </cfRule>
    <cfRule type="cellIs" dxfId="673" priority="143" operator="equal">
      <formula>0</formula>
    </cfRule>
    <cfRule type="cellIs" dxfId="672" priority="144" operator="equal">
      <formula>"NB"</formula>
    </cfRule>
    <cfRule type="cellIs" dxfId="671" priority="145" operator="equal">
      <formula>"M"</formula>
    </cfRule>
  </conditionalFormatting>
  <conditionalFormatting sqref="D9:D14">
    <cfRule type="cellIs" dxfId="670" priority="138" operator="equal">
      <formula>"B"</formula>
    </cfRule>
    <cfRule type="cellIs" dxfId="669" priority="139" operator="equal">
      <formula>0</formula>
    </cfRule>
    <cfRule type="cellIs" dxfId="668" priority="140" operator="equal">
      <formula>"NB"</formula>
    </cfRule>
    <cfRule type="cellIs" dxfId="667" priority="141" operator="equal">
      <formula>"M"</formula>
    </cfRule>
  </conditionalFormatting>
  <conditionalFormatting sqref="E18:J35 E6:K8 E15:Q17">
    <cfRule type="cellIs" dxfId="666" priority="134" operator="equal">
      <formula>"B"</formula>
    </cfRule>
    <cfRule type="cellIs" dxfId="665" priority="135" operator="equal">
      <formula>0</formula>
    </cfRule>
    <cfRule type="cellIs" dxfId="664" priority="136" operator="equal">
      <formula>"NB"</formula>
    </cfRule>
    <cfRule type="cellIs" dxfId="663" priority="137" operator="equal">
      <formula>"M"</formula>
    </cfRule>
  </conditionalFormatting>
  <conditionalFormatting sqref="E9:K14">
    <cfRule type="cellIs" dxfId="662" priority="130" operator="equal">
      <formula>"B"</formula>
    </cfRule>
    <cfRule type="cellIs" dxfId="661" priority="131" operator="equal">
      <formula>0</formula>
    </cfRule>
    <cfRule type="cellIs" dxfId="660" priority="132" operator="equal">
      <formula>"NB"</formula>
    </cfRule>
    <cfRule type="cellIs" dxfId="659" priority="133" operator="equal">
      <formula>"M"</formula>
    </cfRule>
  </conditionalFormatting>
  <conditionalFormatting sqref="R34">
    <cfRule type="cellIs" dxfId="658" priority="123" stopIfTrue="1" operator="equal">
      <formula>"B"</formula>
    </cfRule>
    <cfRule type="cellIs" dxfId="657" priority="124" stopIfTrue="1" operator="equal">
      <formula>"M"</formula>
    </cfRule>
    <cfRule type="cellIs" dxfId="656" priority="125" stopIfTrue="1" operator="between">
      <formula>"NB"</formula>
      <formula>"NB^"</formula>
    </cfRule>
  </conditionalFormatting>
  <conditionalFormatting sqref="R35">
    <cfRule type="cellIs" dxfId="655" priority="120" stopIfTrue="1" operator="equal">
      <formula>"B"</formula>
    </cfRule>
    <cfRule type="cellIs" dxfId="654" priority="121" stopIfTrue="1" operator="equal">
      <formula>"M"</formula>
    </cfRule>
    <cfRule type="cellIs" dxfId="653" priority="122" stopIfTrue="1" operator="between">
      <formula>"NB"</formula>
      <formula>"NB^"</formula>
    </cfRule>
  </conditionalFormatting>
  <conditionalFormatting sqref="R6:R7 R30:R33 R18:R27">
    <cfRule type="cellIs" dxfId="652" priority="126" stopIfTrue="1" operator="equal">
      <formula>"B"</formula>
    </cfRule>
    <cfRule type="cellIs" dxfId="651" priority="127" stopIfTrue="1" operator="equal">
      <formula>"M"</formula>
    </cfRule>
    <cfRule type="cellIs" dxfId="650" priority="128" stopIfTrue="1" operator="between">
      <formula>"NB"</formula>
      <formula>"NB^"</formula>
    </cfRule>
  </conditionalFormatting>
  <conditionalFormatting sqref="R28:R29">
    <cfRule type="cellIs" dxfId="649" priority="129" stopIfTrue="1" operator="equal">
      <formula>0</formula>
    </cfRule>
  </conditionalFormatting>
  <conditionalFormatting sqref="R9:R14">
    <cfRule type="cellIs" dxfId="648" priority="117" stopIfTrue="1" operator="equal">
      <formula>"B"</formula>
    </cfRule>
    <cfRule type="cellIs" dxfId="647" priority="118" stopIfTrue="1" operator="equal">
      <formula>"M"</formula>
    </cfRule>
    <cfRule type="cellIs" dxfId="646" priority="119" stopIfTrue="1" operator="between">
      <formula>"NB"</formula>
      <formula>"NB^"</formula>
    </cfRule>
  </conditionalFormatting>
  <conditionalFormatting sqref="R8">
    <cfRule type="cellIs" dxfId="645" priority="113" operator="equal">
      <formula>"B"</formula>
    </cfRule>
    <cfRule type="cellIs" dxfId="644" priority="114" operator="equal">
      <formula>0</formula>
    </cfRule>
    <cfRule type="cellIs" dxfId="643" priority="115" operator="equal">
      <formula>"NB"</formula>
    </cfRule>
    <cfRule type="cellIs" dxfId="642" priority="116" operator="equal">
      <formula>"M"</formula>
    </cfRule>
  </conditionalFormatting>
  <conditionalFormatting sqref="R15:R17">
    <cfRule type="cellIs" dxfId="641" priority="109" operator="equal">
      <formula>"B"</formula>
    </cfRule>
    <cfRule type="cellIs" dxfId="640" priority="110" operator="equal">
      <formula>0</formula>
    </cfRule>
    <cfRule type="cellIs" dxfId="639" priority="111" operator="equal">
      <formula>"NB"</formula>
    </cfRule>
    <cfRule type="cellIs" dxfId="638" priority="112" operator="equal">
      <formula>"M"</formula>
    </cfRule>
  </conditionalFormatting>
  <conditionalFormatting sqref="S34">
    <cfRule type="cellIs" dxfId="637" priority="102" stopIfTrue="1" operator="equal">
      <formula>"B"</formula>
    </cfRule>
    <cfRule type="cellIs" dxfId="636" priority="103" stopIfTrue="1" operator="equal">
      <formula>"M"</formula>
    </cfRule>
    <cfRule type="cellIs" dxfId="635" priority="104" stopIfTrue="1" operator="between">
      <formula>"NB"</formula>
      <formula>"NB^"</formula>
    </cfRule>
  </conditionalFormatting>
  <conditionalFormatting sqref="S35">
    <cfRule type="cellIs" dxfId="634" priority="99" stopIfTrue="1" operator="equal">
      <formula>"B"</formula>
    </cfRule>
    <cfRule type="cellIs" dxfId="633" priority="100" stopIfTrue="1" operator="equal">
      <formula>"M"</formula>
    </cfRule>
    <cfRule type="cellIs" dxfId="632" priority="101" stopIfTrue="1" operator="between">
      <formula>"NB"</formula>
      <formula>"NB^"</formula>
    </cfRule>
  </conditionalFormatting>
  <conditionalFormatting sqref="S6:S7 S30:S33 S18:S27">
    <cfRule type="cellIs" dxfId="631" priority="105" stopIfTrue="1" operator="equal">
      <formula>"B"</formula>
    </cfRule>
    <cfRule type="cellIs" dxfId="630" priority="106" stopIfTrue="1" operator="equal">
      <formula>"M"</formula>
    </cfRule>
    <cfRule type="cellIs" dxfId="629" priority="107" stopIfTrue="1" operator="between">
      <formula>"NB"</formula>
      <formula>"NB^"</formula>
    </cfRule>
  </conditionalFormatting>
  <conditionalFormatting sqref="S28:S29">
    <cfRule type="cellIs" dxfId="628" priority="108" stopIfTrue="1" operator="equal">
      <formula>0</formula>
    </cfRule>
  </conditionalFormatting>
  <conditionalFormatting sqref="S9:S14">
    <cfRule type="cellIs" dxfId="627" priority="96" stopIfTrue="1" operator="equal">
      <formula>"B"</formula>
    </cfRule>
    <cfRule type="cellIs" dxfId="626" priority="97" stopIfTrue="1" operator="equal">
      <formula>"M"</formula>
    </cfRule>
    <cfRule type="cellIs" dxfId="625" priority="98" stopIfTrue="1" operator="between">
      <formula>"NB"</formula>
      <formula>"NB^"</formula>
    </cfRule>
  </conditionalFormatting>
  <conditionalFormatting sqref="S8">
    <cfRule type="cellIs" dxfId="624" priority="92" operator="equal">
      <formula>"B"</formula>
    </cfRule>
    <cfRule type="cellIs" dxfId="623" priority="93" operator="equal">
      <formula>0</formula>
    </cfRule>
    <cfRule type="cellIs" dxfId="622" priority="94" operator="equal">
      <formula>"NB"</formula>
    </cfRule>
    <cfRule type="cellIs" dxfId="621" priority="95" operator="equal">
      <formula>"M"</formula>
    </cfRule>
  </conditionalFormatting>
  <conditionalFormatting sqref="S15:S17">
    <cfRule type="cellIs" dxfId="620" priority="88" operator="equal">
      <formula>"B"</formula>
    </cfRule>
    <cfRule type="cellIs" dxfId="619" priority="89" operator="equal">
      <formula>0</formula>
    </cfRule>
    <cfRule type="cellIs" dxfId="618" priority="90" operator="equal">
      <formula>"NB"</formula>
    </cfRule>
    <cfRule type="cellIs" dxfId="617" priority="91" operator="equal">
      <formula>"M"</formula>
    </cfRule>
  </conditionalFormatting>
  <conditionalFormatting sqref="T34">
    <cfRule type="cellIs" dxfId="616" priority="81" stopIfTrue="1" operator="equal">
      <formula>"B"</formula>
    </cfRule>
    <cfRule type="cellIs" dxfId="615" priority="82" stopIfTrue="1" operator="equal">
      <formula>"M"</formula>
    </cfRule>
    <cfRule type="cellIs" dxfId="614" priority="83" stopIfTrue="1" operator="between">
      <formula>"NB"</formula>
      <formula>"NB^"</formula>
    </cfRule>
  </conditionalFormatting>
  <conditionalFormatting sqref="T35">
    <cfRule type="cellIs" dxfId="613" priority="78" stopIfTrue="1" operator="equal">
      <formula>"B"</formula>
    </cfRule>
    <cfRule type="cellIs" dxfId="612" priority="79" stopIfTrue="1" operator="equal">
      <formula>"M"</formula>
    </cfRule>
    <cfRule type="cellIs" dxfId="611" priority="80" stopIfTrue="1" operator="between">
      <formula>"NB"</formula>
      <formula>"NB^"</formula>
    </cfRule>
  </conditionalFormatting>
  <conditionalFormatting sqref="T6:T7 T30:T33 T18:T27 U25:U26">
    <cfRule type="cellIs" dxfId="610" priority="84" stopIfTrue="1" operator="equal">
      <formula>"B"</formula>
    </cfRule>
    <cfRule type="cellIs" dxfId="609" priority="85" stopIfTrue="1" operator="equal">
      <formula>"M"</formula>
    </cfRule>
    <cfRule type="cellIs" dxfId="608" priority="86" stopIfTrue="1" operator="between">
      <formula>"NB"</formula>
      <formula>"NB^"</formula>
    </cfRule>
  </conditionalFormatting>
  <conditionalFormatting sqref="T28:T29">
    <cfRule type="cellIs" dxfId="607" priority="87" stopIfTrue="1" operator="equal">
      <formula>0</formula>
    </cfRule>
  </conditionalFormatting>
  <conditionalFormatting sqref="T9:U14">
    <cfRule type="cellIs" dxfId="606" priority="75" stopIfTrue="1" operator="equal">
      <formula>"B"</formula>
    </cfRule>
    <cfRule type="cellIs" dxfId="605" priority="76" stopIfTrue="1" operator="equal">
      <formula>"M"</formula>
    </cfRule>
    <cfRule type="cellIs" dxfId="604" priority="77" stopIfTrue="1" operator="between">
      <formula>"NB"</formula>
      <formula>"NB^"</formula>
    </cfRule>
  </conditionalFormatting>
  <conditionalFormatting sqref="T8">
    <cfRule type="cellIs" dxfId="603" priority="71" operator="equal">
      <formula>"B"</formula>
    </cfRule>
    <cfRule type="cellIs" dxfId="602" priority="72" operator="equal">
      <formula>0</formula>
    </cfRule>
    <cfRule type="cellIs" dxfId="601" priority="73" operator="equal">
      <formula>"NB"</formula>
    </cfRule>
    <cfRule type="cellIs" dxfId="600" priority="74" operator="equal">
      <formula>"M"</formula>
    </cfRule>
  </conditionalFormatting>
  <conditionalFormatting sqref="T15:T17">
    <cfRule type="cellIs" dxfId="599" priority="67" operator="equal">
      <formula>"B"</formula>
    </cfRule>
    <cfRule type="cellIs" dxfId="598" priority="68" operator="equal">
      <formula>0</formula>
    </cfRule>
    <cfRule type="cellIs" dxfId="597" priority="69" operator="equal">
      <formula>"NB"</formula>
    </cfRule>
    <cfRule type="cellIs" dxfId="596" priority="70" operator="equal">
      <formula>"M"</formula>
    </cfRule>
  </conditionalFormatting>
  <conditionalFormatting sqref="V8">
    <cfRule type="cellIs" dxfId="595" priority="63" operator="equal">
      <formula>"B"</formula>
    </cfRule>
    <cfRule type="cellIs" dxfId="594" priority="64" operator="equal">
      <formula>0</formula>
    </cfRule>
    <cfRule type="cellIs" dxfId="593" priority="65" operator="equal">
      <formula>"NB"</formula>
    </cfRule>
    <cfRule type="cellIs" dxfId="592" priority="66" operator="equal">
      <formula>"M"</formula>
    </cfRule>
  </conditionalFormatting>
  <conditionalFormatting sqref="V6:V7 V18:V24 V27:V35">
    <cfRule type="cellIs" dxfId="591" priority="59" operator="equal">
      <formula>"B"</formula>
    </cfRule>
    <cfRule type="cellIs" dxfId="590" priority="60" operator="equal">
      <formula>0</formula>
    </cfRule>
    <cfRule type="cellIs" dxfId="589" priority="61" operator="equal">
      <formula>"NB"</formula>
    </cfRule>
    <cfRule type="cellIs" dxfId="588" priority="62" operator="equal">
      <formula>"M"</formula>
    </cfRule>
  </conditionalFormatting>
  <conditionalFormatting sqref="V25:V26">
    <cfRule type="cellIs" dxfId="587" priority="56" stopIfTrue="1" operator="equal">
      <formula>"B"</formula>
    </cfRule>
    <cfRule type="cellIs" dxfId="586" priority="57" stopIfTrue="1" operator="equal">
      <formula>"M"</formula>
    </cfRule>
    <cfRule type="cellIs" dxfId="585" priority="58" stopIfTrue="1" operator="between">
      <formula>"NB"</formula>
      <formula>"NB^"</formula>
    </cfRule>
  </conditionalFormatting>
  <conditionalFormatting sqref="V9:V14">
    <cfRule type="cellIs" dxfId="584" priority="53" stopIfTrue="1" operator="equal">
      <formula>"B"</formula>
    </cfRule>
    <cfRule type="cellIs" dxfId="583" priority="54" stopIfTrue="1" operator="equal">
      <formula>"M"</formula>
    </cfRule>
    <cfRule type="cellIs" dxfId="582" priority="55" stopIfTrue="1" operator="between">
      <formula>"NB"</formula>
      <formula>"NB^"</formula>
    </cfRule>
  </conditionalFormatting>
  <conditionalFormatting sqref="W8">
    <cfRule type="cellIs" dxfId="581" priority="49" operator="equal">
      <formula>"B"</formula>
    </cfRule>
    <cfRule type="cellIs" dxfId="580" priority="50" operator="equal">
      <formula>0</formula>
    </cfRule>
    <cfRule type="cellIs" dxfId="579" priority="51" operator="equal">
      <formula>"NB"</formula>
    </cfRule>
    <cfRule type="cellIs" dxfId="578" priority="52" operator="equal">
      <formula>"M"</formula>
    </cfRule>
  </conditionalFormatting>
  <conditionalFormatting sqref="W6:W7 W18:W24 W27:W35">
    <cfRule type="cellIs" dxfId="577" priority="45" operator="equal">
      <formula>"B"</formula>
    </cfRule>
    <cfRule type="cellIs" dxfId="576" priority="46" operator="equal">
      <formula>0</formula>
    </cfRule>
    <cfRule type="cellIs" dxfId="575" priority="47" operator="equal">
      <formula>"NB"</formula>
    </cfRule>
    <cfRule type="cellIs" dxfId="574" priority="48" operator="equal">
      <formula>"M"</formula>
    </cfRule>
  </conditionalFormatting>
  <conditionalFormatting sqref="W25:W26">
    <cfRule type="cellIs" dxfId="573" priority="42" stopIfTrue="1" operator="equal">
      <formula>"B"</formula>
    </cfRule>
    <cfRule type="cellIs" dxfId="572" priority="43" stopIfTrue="1" operator="equal">
      <formula>"M"</formula>
    </cfRule>
    <cfRule type="cellIs" dxfId="571" priority="44" stopIfTrue="1" operator="between">
      <formula>"NB"</formula>
      <formula>"NB^"</formula>
    </cfRule>
  </conditionalFormatting>
  <conditionalFormatting sqref="W9:W14">
    <cfRule type="cellIs" dxfId="570" priority="39" stopIfTrue="1" operator="equal">
      <formula>"B"</formula>
    </cfRule>
    <cfRule type="cellIs" dxfId="569" priority="40" stopIfTrue="1" operator="equal">
      <formula>"M"</formula>
    </cfRule>
    <cfRule type="cellIs" dxfId="568" priority="41" stopIfTrue="1" operator="between">
      <formula>"NB"</formula>
      <formula>"NB^"</formula>
    </cfRule>
  </conditionalFormatting>
  <conditionalFormatting sqref="X8:AA8">
    <cfRule type="cellIs" dxfId="567" priority="35" operator="equal">
      <formula>"B"</formula>
    </cfRule>
    <cfRule type="cellIs" dxfId="566" priority="36" operator="equal">
      <formula>0</formula>
    </cfRule>
    <cfRule type="cellIs" dxfId="565" priority="37" operator="equal">
      <formula>"NB"</formula>
    </cfRule>
    <cfRule type="cellIs" dxfId="564" priority="38" operator="equal">
      <formula>"M"</formula>
    </cfRule>
  </conditionalFormatting>
  <conditionalFormatting sqref="X6:AA7 X18:AA24 X27:AA35 AB22:AB24">
    <cfRule type="cellIs" dxfId="563" priority="31" operator="equal">
      <formula>"B"</formula>
    </cfRule>
    <cfRule type="cellIs" dxfId="562" priority="32" operator="equal">
      <formula>0</formula>
    </cfRule>
    <cfRule type="cellIs" dxfId="561" priority="33" operator="equal">
      <formula>"NB"</formula>
    </cfRule>
    <cfRule type="cellIs" dxfId="560" priority="34" operator="equal">
      <formula>"M"</formula>
    </cfRule>
  </conditionalFormatting>
  <conditionalFormatting sqref="X25:AB26">
    <cfRule type="cellIs" dxfId="559" priority="28" stopIfTrue="1" operator="equal">
      <formula>"B"</formula>
    </cfRule>
    <cfRule type="cellIs" dxfId="558" priority="29" stopIfTrue="1" operator="equal">
      <formula>"M"</formula>
    </cfRule>
    <cfRule type="cellIs" dxfId="557" priority="30" stopIfTrue="1" operator="between">
      <formula>"NB"</formula>
      <formula>"NB^"</formula>
    </cfRule>
  </conditionalFormatting>
  <conditionalFormatting sqref="X9:AC14">
    <cfRule type="cellIs" dxfId="556" priority="25" stopIfTrue="1" operator="equal">
      <formula>"B"</formula>
    </cfRule>
    <cfRule type="cellIs" dxfId="555" priority="26" stopIfTrue="1" operator="equal">
      <formula>"M"</formula>
    </cfRule>
    <cfRule type="cellIs" dxfId="554" priority="27" stopIfTrue="1" operator="between">
      <formula>"NB"</formula>
      <formula>"NB^"</formula>
    </cfRule>
  </conditionalFormatting>
  <conditionalFormatting sqref="U15:AA17">
    <cfRule type="cellIs" dxfId="553" priority="21" operator="equal">
      <formula>"B"</formula>
    </cfRule>
    <cfRule type="cellIs" dxfId="552" priority="22" operator="equal">
      <formula>0</formula>
    </cfRule>
    <cfRule type="cellIs" dxfId="551" priority="23" operator="equal">
      <formula>"NB"</formula>
    </cfRule>
    <cfRule type="cellIs" dxfId="550" priority="24" operator="equal">
      <formula>"M"</formula>
    </cfRule>
  </conditionalFormatting>
  <conditionalFormatting sqref="AD15:AG17">
    <cfRule type="cellIs" dxfId="549" priority="14" stopIfTrue="1" operator="equal">
      <formula>"B"</formula>
    </cfRule>
    <cfRule type="cellIs" dxfId="548" priority="15" stopIfTrue="1" operator="equal">
      <formula>"M"</formula>
    </cfRule>
    <cfRule type="cellIs" dxfId="547" priority="16" stopIfTrue="1" operator="between">
      <formula>"NB"</formula>
      <formula>"NB^"</formula>
    </cfRule>
  </conditionalFormatting>
  <conditionalFormatting sqref="AD34:AG34">
    <cfRule type="cellIs" dxfId="546" priority="11" stopIfTrue="1" operator="equal">
      <formula>"B"</formula>
    </cfRule>
    <cfRule type="cellIs" dxfId="545" priority="12" stopIfTrue="1" operator="equal">
      <formula>"M"</formula>
    </cfRule>
    <cfRule type="cellIs" dxfId="544" priority="13" stopIfTrue="1" operator="between">
      <formula>"NB"</formula>
      <formula>"NB^"</formula>
    </cfRule>
  </conditionalFormatting>
  <conditionalFormatting sqref="AD35:AG35">
    <cfRule type="cellIs" dxfId="543" priority="8" stopIfTrue="1" operator="equal">
      <formula>"B"</formula>
    </cfRule>
    <cfRule type="cellIs" dxfId="542" priority="9" stopIfTrue="1" operator="equal">
      <formula>"M"</formula>
    </cfRule>
    <cfRule type="cellIs" dxfId="541" priority="10" stopIfTrue="1" operator="between">
      <formula>"NB"</formula>
      <formula>"NB^"</formula>
    </cfRule>
  </conditionalFormatting>
  <conditionalFormatting sqref="AD30:AG33 AD6:AG7 AD22:AG27">
    <cfRule type="cellIs" dxfId="540" priority="17" stopIfTrue="1" operator="equal">
      <formula>"B"</formula>
    </cfRule>
    <cfRule type="cellIs" dxfId="539" priority="18" stopIfTrue="1" operator="equal">
      <formula>"M"</formula>
    </cfRule>
    <cfRule type="cellIs" dxfId="538" priority="19" stopIfTrue="1" operator="between">
      <formula>"NB"</formula>
      <formula>"NB^"</formula>
    </cfRule>
  </conditionalFormatting>
  <conditionalFormatting sqref="AD28:AD29">
    <cfRule type="cellIs" dxfId="537" priority="20" stopIfTrue="1" operator="equal">
      <formula>0</formula>
    </cfRule>
  </conditionalFormatting>
  <conditionalFormatting sqref="AD8">
    <cfRule type="cellIs" dxfId="536" priority="4" operator="equal">
      <formula>"B"</formula>
    </cfRule>
    <cfRule type="cellIs" dxfId="535" priority="5" operator="equal">
      <formula>0</formula>
    </cfRule>
    <cfRule type="cellIs" dxfId="534" priority="6" operator="equal">
      <formula>"NB"</formula>
    </cfRule>
    <cfRule type="cellIs" dxfId="533" priority="7" operator="equal">
      <formula>"M"</formula>
    </cfRule>
  </conditionalFormatting>
  <conditionalFormatting sqref="AD9:AD14">
    <cfRule type="cellIs" dxfId="532" priority="1" stopIfTrue="1" operator="equal">
      <formula>"B"</formula>
    </cfRule>
    <cfRule type="cellIs" dxfId="531" priority="2" stopIfTrue="1" operator="equal">
      <formula>"M"</formula>
    </cfRule>
    <cfRule type="cellIs" dxfId="530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111</v>
      </c>
    </row>
    <row r="4" spans="1:44" s="5" customFormat="1" ht="15.75" customHeight="1" thickBot="1" x14ac:dyDescent="0.3">
      <c r="C4" s="6"/>
      <c r="D4" s="5" t="s">
        <v>3</v>
      </c>
      <c r="G4" s="6"/>
      <c r="J4" s="5" t="s">
        <v>3</v>
      </c>
      <c r="K4" s="5" t="s">
        <v>3</v>
      </c>
      <c r="M4" s="6"/>
      <c r="N4" s="5" t="s">
        <v>4</v>
      </c>
      <c r="Q4" s="5" t="s">
        <v>3</v>
      </c>
      <c r="R4" s="5" t="s">
        <v>3</v>
      </c>
      <c r="X4" s="5" t="s">
        <v>3</v>
      </c>
      <c r="Y4" s="5" t="s">
        <v>3</v>
      </c>
      <c r="AC4" s="5" t="s">
        <v>4</v>
      </c>
      <c r="AD4" s="5" t="s">
        <v>4</v>
      </c>
      <c r="AE4" s="5" t="s">
        <v>3</v>
      </c>
      <c r="AF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41" t="s">
        <v>7</v>
      </c>
      <c r="B6" s="142"/>
      <c r="C6" s="143"/>
      <c r="D6" s="72" t="s">
        <v>12</v>
      </c>
      <c r="E6" s="72" t="s">
        <v>22</v>
      </c>
      <c r="F6" s="72" t="s">
        <v>22</v>
      </c>
      <c r="G6" s="72" t="s">
        <v>22</v>
      </c>
      <c r="H6" s="72" t="s">
        <v>9</v>
      </c>
      <c r="I6" s="72" t="s">
        <v>8</v>
      </c>
      <c r="J6" s="72" t="s">
        <v>8</v>
      </c>
      <c r="K6" s="72" t="s">
        <v>8</v>
      </c>
      <c r="L6" s="72" t="s">
        <v>8</v>
      </c>
      <c r="M6" s="72" t="s">
        <v>8</v>
      </c>
      <c r="N6" s="72" t="s">
        <v>9</v>
      </c>
      <c r="O6" s="72" t="s">
        <v>8</v>
      </c>
      <c r="P6" s="72" t="s">
        <v>8</v>
      </c>
      <c r="Q6" s="72" t="s">
        <v>9</v>
      </c>
      <c r="R6" s="72" t="s">
        <v>9</v>
      </c>
      <c r="S6" s="72" t="s">
        <v>9</v>
      </c>
      <c r="T6" s="72" t="s">
        <v>8</v>
      </c>
      <c r="U6" s="72" t="s">
        <v>8</v>
      </c>
      <c r="V6" s="72" t="s">
        <v>8</v>
      </c>
      <c r="W6" s="72" t="s">
        <v>8</v>
      </c>
      <c r="X6" s="72" t="s">
        <v>9</v>
      </c>
      <c r="Y6" s="72" t="s">
        <v>9</v>
      </c>
      <c r="Z6" s="72" t="s">
        <v>9</v>
      </c>
      <c r="AA6" s="72" t="s">
        <v>9</v>
      </c>
      <c r="AB6" s="72" t="s">
        <v>8</v>
      </c>
      <c r="AC6" s="72" t="s">
        <v>8</v>
      </c>
      <c r="AD6" s="72" t="s">
        <v>9</v>
      </c>
      <c r="AE6" s="72" t="s">
        <v>9</v>
      </c>
      <c r="AF6" s="72" t="s">
        <v>9</v>
      </c>
      <c r="AG6" s="72" t="s">
        <v>9</v>
      </c>
      <c r="AH6" s="13">
        <f t="shared" ref="AH6:AH35" si="0">IF(COUNTA(D6:AG6)&gt;0,(COUNTA(D6:AG6)-COUNTIF(D6:AG6,"NB")-COUNTIF(D6:AG6,"DN")-COUNTIF(D6:AG6,"An")-COUNTIF(D6:AG6,"NB^")-COUNTIF(D6:AG6,0))/COUNTA(D6:AG6),"")</f>
        <v>0.96666666666666667</v>
      </c>
      <c r="AI6"/>
    </row>
    <row r="7" spans="1:44" ht="15.75" customHeight="1" x14ac:dyDescent="0.25">
      <c r="A7" s="138" t="s">
        <v>10</v>
      </c>
      <c r="B7" s="139"/>
      <c r="C7" s="140"/>
      <c r="D7" s="73" t="s">
        <v>12</v>
      </c>
      <c r="E7" s="73" t="s">
        <v>22</v>
      </c>
      <c r="F7" s="73" t="s">
        <v>22</v>
      </c>
      <c r="G7" s="73" t="s">
        <v>22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7">
        <f t="shared" si="0"/>
        <v>0.96666666666666667</v>
      </c>
      <c r="AI7"/>
    </row>
    <row r="8" spans="1:44" ht="15.75" customHeight="1" x14ac:dyDescent="0.25">
      <c r="A8" s="144" t="s">
        <v>94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9">
        <f t="shared" si="0"/>
        <v>0</v>
      </c>
      <c r="AI8"/>
    </row>
    <row r="9" spans="1:44" ht="15.75" customHeight="1" x14ac:dyDescent="0.25">
      <c r="A9" s="147" t="s">
        <v>13</v>
      </c>
      <c r="B9" s="148"/>
      <c r="C9" s="149"/>
      <c r="D9" s="79" t="s">
        <v>12</v>
      </c>
      <c r="E9" s="79" t="s">
        <v>12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11</v>
      </c>
      <c r="K9" s="79" t="s">
        <v>12</v>
      </c>
      <c r="L9" s="79" t="s">
        <v>12</v>
      </c>
      <c r="M9" s="20" t="s">
        <v>11</v>
      </c>
      <c r="N9" s="20" t="s">
        <v>11</v>
      </c>
      <c r="O9" s="20" t="s">
        <v>11</v>
      </c>
      <c r="P9" s="20" t="s">
        <v>11</v>
      </c>
      <c r="Q9" s="20" t="s">
        <v>11</v>
      </c>
      <c r="R9" s="20" t="s">
        <v>11</v>
      </c>
      <c r="S9" s="20" t="s">
        <v>11</v>
      </c>
      <c r="T9" s="20" t="s">
        <v>11</v>
      </c>
      <c r="U9" s="20" t="s">
        <v>11</v>
      </c>
      <c r="V9" s="20" t="s">
        <v>11</v>
      </c>
      <c r="W9" s="20" t="s">
        <v>11</v>
      </c>
      <c r="X9" s="20" t="s">
        <v>11</v>
      </c>
      <c r="Y9" s="20" t="s">
        <v>11</v>
      </c>
      <c r="Z9" s="20" t="s">
        <v>11</v>
      </c>
      <c r="AA9" s="20" t="s">
        <v>11</v>
      </c>
      <c r="AB9" s="20" t="s">
        <v>11</v>
      </c>
      <c r="AC9" s="20" t="s">
        <v>11</v>
      </c>
      <c r="AD9" s="20" t="s">
        <v>11</v>
      </c>
      <c r="AE9" s="20" t="s">
        <v>11</v>
      </c>
      <c r="AF9" s="20" t="s">
        <v>12</v>
      </c>
      <c r="AG9" s="20" t="s">
        <v>12</v>
      </c>
      <c r="AH9" s="13">
        <f t="shared" si="0"/>
        <v>0.66666666666666663</v>
      </c>
      <c r="AI9"/>
    </row>
    <row r="10" spans="1:44" ht="15.75" customHeight="1" x14ac:dyDescent="0.25">
      <c r="A10" s="150" t="s">
        <v>14</v>
      </c>
      <c r="B10" s="151"/>
      <c r="C10" s="152"/>
      <c r="D10" s="80" t="s">
        <v>12</v>
      </c>
      <c r="E10" s="80" t="s">
        <v>12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11</v>
      </c>
      <c r="K10" s="80" t="s">
        <v>12</v>
      </c>
      <c r="L10" s="80" t="s">
        <v>12</v>
      </c>
      <c r="M10" s="16" t="s">
        <v>11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12</v>
      </c>
      <c r="AG10" s="16" t="s">
        <v>12</v>
      </c>
      <c r="AH10" s="21">
        <f t="shared" si="0"/>
        <v>0.66666666666666663</v>
      </c>
      <c r="AI10"/>
    </row>
    <row r="11" spans="1:44" ht="15.75" customHeight="1" x14ac:dyDescent="0.25">
      <c r="A11" s="150" t="s">
        <v>15</v>
      </c>
      <c r="B11" s="151"/>
      <c r="C11" s="152"/>
      <c r="D11" s="80" t="s">
        <v>12</v>
      </c>
      <c r="E11" s="80" t="s">
        <v>12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12</v>
      </c>
      <c r="K11" s="80" t="s">
        <v>12</v>
      </c>
      <c r="L11" s="80" t="s">
        <v>12</v>
      </c>
      <c r="M11" s="16" t="s">
        <v>11</v>
      </c>
      <c r="N11" s="16" t="s">
        <v>11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16" t="s">
        <v>11</v>
      </c>
      <c r="AF11" s="16" t="s">
        <v>12</v>
      </c>
      <c r="AG11" s="16" t="s">
        <v>12</v>
      </c>
      <c r="AH11" s="21">
        <f t="shared" si="0"/>
        <v>0.6333333333333333</v>
      </c>
      <c r="AI11"/>
    </row>
    <row r="12" spans="1:44" ht="15.75" customHeight="1" x14ac:dyDescent="0.25">
      <c r="A12" s="150" t="s">
        <v>16</v>
      </c>
      <c r="B12" s="151"/>
      <c r="C12" s="152"/>
      <c r="D12" s="80" t="s">
        <v>12</v>
      </c>
      <c r="E12" s="80" t="s">
        <v>12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12</v>
      </c>
      <c r="K12" s="80" t="s">
        <v>12</v>
      </c>
      <c r="L12" s="80" t="s">
        <v>12</v>
      </c>
      <c r="M12" s="16" t="s">
        <v>11</v>
      </c>
      <c r="N12" s="16" t="s">
        <v>11</v>
      </c>
      <c r="O12" s="16" t="s">
        <v>11</v>
      </c>
      <c r="P12" s="16" t="s">
        <v>11</v>
      </c>
      <c r="Q12" s="16" t="s">
        <v>11</v>
      </c>
      <c r="R12" s="16" t="s">
        <v>11</v>
      </c>
      <c r="S12" s="16" t="s">
        <v>11</v>
      </c>
      <c r="T12" s="16" t="s">
        <v>11</v>
      </c>
      <c r="U12" s="16" t="s">
        <v>11</v>
      </c>
      <c r="V12" s="16" t="s">
        <v>11</v>
      </c>
      <c r="W12" s="16" t="s">
        <v>11</v>
      </c>
      <c r="X12" s="16" t="s">
        <v>11</v>
      </c>
      <c r="Y12" s="16" t="s">
        <v>11</v>
      </c>
      <c r="Z12" s="16" t="s">
        <v>11</v>
      </c>
      <c r="AA12" s="16" t="s">
        <v>11</v>
      </c>
      <c r="AB12" s="16" t="s">
        <v>11</v>
      </c>
      <c r="AC12" s="16" t="s">
        <v>11</v>
      </c>
      <c r="AD12" s="16" t="s">
        <v>11</v>
      </c>
      <c r="AE12" s="16" t="s">
        <v>11</v>
      </c>
      <c r="AF12" s="16" t="s">
        <v>12</v>
      </c>
      <c r="AG12" s="16" t="s">
        <v>12</v>
      </c>
      <c r="AH12" s="21">
        <f t="shared" si="0"/>
        <v>0.6333333333333333</v>
      </c>
      <c r="AI12"/>
    </row>
    <row r="13" spans="1:44" ht="15.75" customHeight="1" x14ac:dyDescent="0.25">
      <c r="A13" s="150" t="s">
        <v>17</v>
      </c>
      <c r="B13" s="151"/>
      <c r="C13" s="152"/>
      <c r="D13" s="80" t="s">
        <v>12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12</v>
      </c>
      <c r="K13" s="80" t="s">
        <v>12</v>
      </c>
      <c r="L13" s="80" t="s">
        <v>12</v>
      </c>
      <c r="M13" s="16" t="s">
        <v>11</v>
      </c>
      <c r="N13" s="16" t="s">
        <v>11</v>
      </c>
      <c r="O13" s="16" t="s">
        <v>11</v>
      </c>
      <c r="P13" s="16" t="s">
        <v>11</v>
      </c>
      <c r="Q13" s="16" t="s">
        <v>11</v>
      </c>
      <c r="R13" s="16" t="s">
        <v>11</v>
      </c>
      <c r="S13" s="16" t="s">
        <v>11</v>
      </c>
      <c r="T13" s="16" t="s">
        <v>11</v>
      </c>
      <c r="U13" s="16" t="s">
        <v>11</v>
      </c>
      <c r="V13" s="16" t="s">
        <v>11</v>
      </c>
      <c r="W13" s="16" t="s">
        <v>11</v>
      </c>
      <c r="X13" s="16" t="s">
        <v>11</v>
      </c>
      <c r="Y13" s="16" t="s">
        <v>11</v>
      </c>
      <c r="Z13" s="16" t="s">
        <v>11</v>
      </c>
      <c r="AA13" s="16" t="s">
        <v>11</v>
      </c>
      <c r="AB13" s="16" t="s">
        <v>11</v>
      </c>
      <c r="AC13" s="16" t="s">
        <v>11</v>
      </c>
      <c r="AD13" s="16" t="s">
        <v>11</v>
      </c>
      <c r="AE13" s="16" t="s">
        <v>11</v>
      </c>
      <c r="AF13" s="16" t="s">
        <v>12</v>
      </c>
      <c r="AG13" s="16" t="s">
        <v>12</v>
      </c>
      <c r="AH13" s="21">
        <f t="shared" si="0"/>
        <v>0.6333333333333333</v>
      </c>
      <c r="AI13"/>
    </row>
    <row r="14" spans="1:44" ht="15.75" customHeight="1" x14ac:dyDescent="0.25">
      <c r="A14" s="138" t="s">
        <v>18</v>
      </c>
      <c r="B14" s="139"/>
      <c r="C14" s="140"/>
      <c r="D14" s="73" t="s">
        <v>12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12</v>
      </c>
      <c r="K14" s="73" t="s">
        <v>12</v>
      </c>
      <c r="L14" s="73" t="s">
        <v>12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16" t="s">
        <v>12</v>
      </c>
      <c r="AG14" s="16" t="s">
        <v>12</v>
      </c>
      <c r="AH14" s="17">
        <f t="shared" si="0"/>
        <v>0.6333333333333333</v>
      </c>
      <c r="AI14"/>
    </row>
    <row r="15" spans="1:44" ht="15.75" customHeight="1" x14ac:dyDescent="0.25">
      <c r="A15" s="147" t="s">
        <v>19</v>
      </c>
      <c r="B15" s="148"/>
      <c r="C15" s="149"/>
      <c r="D15" s="20" t="s">
        <v>12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13">
        <f t="shared" si="0"/>
        <v>0.96666666666666667</v>
      </c>
      <c r="AI15"/>
    </row>
    <row r="16" spans="1:44" ht="15.75" customHeight="1" x14ac:dyDescent="0.25">
      <c r="A16" s="150" t="s">
        <v>20</v>
      </c>
      <c r="B16" s="151"/>
      <c r="C16" s="152"/>
      <c r="D16" s="16" t="s">
        <v>12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21">
        <f t="shared" si="0"/>
        <v>0.96666666666666667</v>
      </c>
      <c r="AI16"/>
    </row>
    <row r="17" spans="1:35" ht="15.75" customHeight="1" x14ac:dyDescent="0.25">
      <c r="A17" s="138" t="s">
        <v>92</v>
      </c>
      <c r="B17" s="139"/>
      <c r="C17" s="140"/>
      <c r="D17" s="16" t="s">
        <v>12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7">
        <f t="shared" si="0"/>
        <v>0.96666666666666667</v>
      </c>
      <c r="AI17"/>
    </row>
    <row r="18" spans="1:35" ht="15.75" customHeight="1" x14ac:dyDescent="0.25">
      <c r="A18" s="147" t="s">
        <v>21</v>
      </c>
      <c r="B18" s="148"/>
      <c r="C18" s="149"/>
      <c r="D18" s="79" t="s">
        <v>22</v>
      </c>
      <c r="E18" s="79" t="s">
        <v>22</v>
      </c>
      <c r="F18" s="79" t="s">
        <v>22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13">
        <f t="shared" si="0"/>
        <v>1</v>
      </c>
      <c r="AI18"/>
    </row>
    <row r="19" spans="1:35" ht="15.75" customHeight="1" x14ac:dyDescent="0.25">
      <c r="A19" s="150" t="s">
        <v>23</v>
      </c>
      <c r="B19" s="151"/>
      <c r="C19" s="152"/>
      <c r="D19" s="16" t="s">
        <v>22</v>
      </c>
      <c r="E19" s="16" t="s">
        <v>22</v>
      </c>
      <c r="F19" s="16" t="s">
        <v>22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80" t="s">
        <v>11</v>
      </c>
      <c r="N19" s="80" t="s">
        <v>11</v>
      </c>
      <c r="O19" s="80" t="s">
        <v>11</v>
      </c>
      <c r="P19" s="80" t="s">
        <v>11</v>
      </c>
      <c r="Q19" s="80" t="s">
        <v>11</v>
      </c>
      <c r="R19" s="80" t="s">
        <v>11</v>
      </c>
      <c r="S19" s="80" t="s">
        <v>11</v>
      </c>
      <c r="T19" s="80" t="s">
        <v>11</v>
      </c>
      <c r="U19" s="80" t="s">
        <v>11</v>
      </c>
      <c r="V19" s="80" t="s">
        <v>11</v>
      </c>
      <c r="W19" s="80" t="s">
        <v>11</v>
      </c>
      <c r="X19" s="80" t="s">
        <v>11</v>
      </c>
      <c r="Y19" s="80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1">
        <f t="shared" si="0"/>
        <v>1</v>
      </c>
      <c r="AI19"/>
    </row>
    <row r="20" spans="1:35" ht="15.75" customHeight="1" x14ac:dyDescent="0.25">
      <c r="A20" s="150" t="s">
        <v>24</v>
      </c>
      <c r="B20" s="151"/>
      <c r="C20" s="152"/>
      <c r="D20" s="16" t="s">
        <v>22</v>
      </c>
      <c r="E20" s="16" t="s">
        <v>22</v>
      </c>
      <c r="F20" s="16" t="s">
        <v>22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80" t="s">
        <v>11</v>
      </c>
      <c r="W20" s="80" t="s">
        <v>11</v>
      </c>
      <c r="X20" s="80" t="s">
        <v>11</v>
      </c>
      <c r="Y20" s="80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1">
        <f t="shared" si="0"/>
        <v>1</v>
      </c>
      <c r="AI20"/>
    </row>
    <row r="21" spans="1:35" ht="15.75" customHeight="1" x14ac:dyDescent="0.25">
      <c r="A21" s="138" t="s">
        <v>25</v>
      </c>
      <c r="B21" s="139"/>
      <c r="C21" s="140"/>
      <c r="D21" s="73" t="s">
        <v>22</v>
      </c>
      <c r="E21" s="73" t="s">
        <v>22</v>
      </c>
      <c r="F21" s="73" t="s">
        <v>22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7">
        <f t="shared" si="0"/>
        <v>1</v>
      </c>
      <c r="AI21"/>
    </row>
    <row r="22" spans="1:35" ht="15.75" customHeight="1" x14ac:dyDescent="0.25">
      <c r="A22" s="144" t="s">
        <v>26</v>
      </c>
      <c r="B22" s="145"/>
      <c r="C22" s="146"/>
      <c r="D22" s="81" t="s">
        <v>22</v>
      </c>
      <c r="E22" s="81" t="s">
        <v>12</v>
      </c>
      <c r="F22" s="81" t="s">
        <v>12</v>
      </c>
      <c r="G22" s="81" t="s">
        <v>12</v>
      </c>
      <c r="H22" s="81" t="s">
        <v>22</v>
      </c>
      <c r="I22" s="81" t="s">
        <v>11</v>
      </c>
      <c r="J22" s="81" t="s">
        <v>11</v>
      </c>
      <c r="K22" s="81" t="s">
        <v>11</v>
      </c>
      <c r="L22" s="81" t="s">
        <v>11</v>
      </c>
      <c r="M22" s="81" t="s">
        <v>11</v>
      </c>
      <c r="N22" s="81" t="s">
        <v>12</v>
      </c>
      <c r="O22" s="81" t="s">
        <v>12</v>
      </c>
      <c r="P22" s="81" t="s">
        <v>12</v>
      </c>
      <c r="Q22" s="81" t="s">
        <v>12</v>
      </c>
      <c r="R22" s="24" t="s">
        <v>11</v>
      </c>
      <c r="S22" s="24" t="s">
        <v>11</v>
      </c>
      <c r="T22" s="24" t="s">
        <v>11</v>
      </c>
      <c r="U22" s="24" t="s">
        <v>11</v>
      </c>
      <c r="V22" s="24" t="s">
        <v>12</v>
      </c>
      <c r="W22" s="24" t="s">
        <v>12</v>
      </c>
      <c r="X22" s="24" t="s">
        <v>12</v>
      </c>
      <c r="Y22" s="24" t="s">
        <v>12</v>
      </c>
      <c r="Z22" s="24" t="s">
        <v>12</v>
      </c>
      <c r="AA22" s="24" t="s">
        <v>12</v>
      </c>
      <c r="AB22" s="24" t="s">
        <v>12</v>
      </c>
      <c r="AC22" s="24" t="s">
        <v>22</v>
      </c>
      <c r="AD22" s="24" t="s">
        <v>11</v>
      </c>
      <c r="AE22" s="24" t="s">
        <v>11</v>
      </c>
      <c r="AF22" s="24" t="s">
        <v>11</v>
      </c>
      <c r="AG22" s="24" t="s">
        <v>11</v>
      </c>
      <c r="AH22" s="19">
        <f t="shared" si="0"/>
        <v>0.53333333333333333</v>
      </c>
      <c r="AI22"/>
    </row>
    <row r="23" spans="1:35" ht="15.75" customHeight="1" x14ac:dyDescent="0.25">
      <c r="A23" s="147" t="s">
        <v>27</v>
      </c>
      <c r="B23" s="148"/>
      <c r="C23" s="149"/>
      <c r="D23" s="20" t="s">
        <v>12</v>
      </c>
      <c r="E23" s="20" t="s">
        <v>12</v>
      </c>
      <c r="F23" s="20" t="s">
        <v>11</v>
      </c>
      <c r="G23" s="20" t="s">
        <v>12</v>
      </c>
      <c r="H23" s="20" t="s">
        <v>12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79" t="s">
        <v>11</v>
      </c>
      <c r="S23" s="79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11</v>
      </c>
      <c r="AB23" s="22" t="s">
        <v>11</v>
      </c>
      <c r="AC23" s="22" t="s">
        <v>12</v>
      </c>
      <c r="AD23" s="22" t="s">
        <v>12</v>
      </c>
      <c r="AE23" s="22" t="s">
        <v>12</v>
      </c>
      <c r="AF23" s="22" t="s">
        <v>12</v>
      </c>
      <c r="AG23" s="22" t="s">
        <v>12</v>
      </c>
      <c r="AH23" s="13">
        <f t="shared" si="0"/>
        <v>0.7</v>
      </c>
      <c r="AI23"/>
    </row>
    <row r="24" spans="1:35" ht="15.75" customHeight="1" x14ac:dyDescent="0.25">
      <c r="A24" s="138" t="s">
        <v>28</v>
      </c>
      <c r="B24" s="139"/>
      <c r="C24" s="140"/>
      <c r="D24" s="15" t="s">
        <v>12</v>
      </c>
      <c r="E24" s="15" t="s">
        <v>12</v>
      </c>
      <c r="F24" s="15" t="s">
        <v>11</v>
      </c>
      <c r="G24" s="15" t="s">
        <v>12</v>
      </c>
      <c r="H24" s="15" t="s">
        <v>12</v>
      </c>
      <c r="I24" s="15" t="s">
        <v>11</v>
      </c>
      <c r="J24" s="15" t="s">
        <v>11</v>
      </c>
      <c r="K24" s="15" t="s">
        <v>11</v>
      </c>
      <c r="L24" s="15" t="s">
        <v>11</v>
      </c>
      <c r="M24" s="15" t="s">
        <v>11</v>
      </c>
      <c r="N24" s="15" t="s">
        <v>11</v>
      </c>
      <c r="O24" s="15" t="s">
        <v>11</v>
      </c>
      <c r="P24" s="15" t="s">
        <v>11</v>
      </c>
      <c r="Q24" s="15" t="s">
        <v>11</v>
      </c>
      <c r="R24" s="73" t="s">
        <v>11</v>
      </c>
      <c r="S24" s="73" t="s">
        <v>12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11</v>
      </c>
      <c r="Y24" s="73" t="s">
        <v>11</v>
      </c>
      <c r="Z24" s="73" t="s">
        <v>11</v>
      </c>
      <c r="AA24" s="73" t="s">
        <v>11</v>
      </c>
      <c r="AB24" s="14" t="s">
        <v>11</v>
      </c>
      <c r="AC24" s="14" t="s">
        <v>12</v>
      </c>
      <c r="AD24" s="14" t="s">
        <v>12</v>
      </c>
      <c r="AE24" s="14" t="s">
        <v>12</v>
      </c>
      <c r="AF24" s="14" t="s">
        <v>12</v>
      </c>
      <c r="AG24" s="14" t="s">
        <v>12</v>
      </c>
      <c r="AH24" s="17">
        <f t="shared" si="0"/>
        <v>0.66666666666666663</v>
      </c>
      <c r="AI24"/>
    </row>
    <row r="25" spans="1:35" ht="15.75" customHeight="1" x14ac:dyDescent="0.25">
      <c r="A25" s="144" t="s">
        <v>29</v>
      </c>
      <c r="B25" s="145"/>
      <c r="C25" s="146"/>
      <c r="D25" s="25" t="s">
        <v>22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22</v>
      </c>
      <c r="J25" s="25" t="s">
        <v>22</v>
      </c>
      <c r="K25" s="25" t="s">
        <v>22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6" t="s">
        <v>11</v>
      </c>
      <c r="AH25" s="19">
        <f t="shared" si="0"/>
        <v>1</v>
      </c>
      <c r="AI25"/>
    </row>
    <row r="26" spans="1:35" ht="15.75" customHeight="1" x14ac:dyDescent="0.25">
      <c r="A26" s="144" t="s">
        <v>30</v>
      </c>
      <c r="B26" s="145"/>
      <c r="C26" s="146"/>
      <c r="D26" s="25" t="s">
        <v>22</v>
      </c>
      <c r="E26" s="25" t="s">
        <v>11</v>
      </c>
      <c r="F26" s="25" t="s">
        <v>11</v>
      </c>
      <c r="G26" s="25" t="s">
        <v>11</v>
      </c>
      <c r="H26" s="25" t="s">
        <v>11</v>
      </c>
      <c r="I26" s="25" t="s">
        <v>22</v>
      </c>
      <c r="J26" s="25" t="s">
        <v>22</v>
      </c>
      <c r="K26" s="25" t="s">
        <v>22</v>
      </c>
      <c r="L26" s="25" t="s">
        <v>11</v>
      </c>
      <c r="M26" s="25" t="s">
        <v>11</v>
      </c>
      <c r="N26" s="25" t="s">
        <v>11</v>
      </c>
      <c r="O26" s="25" t="s">
        <v>11</v>
      </c>
      <c r="P26" s="25" t="s">
        <v>11</v>
      </c>
      <c r="Q26" s="25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22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19">
        <f t="shared" si="0"/>
        <v>1</v>
      </c>
      <c r="AI26"/>
    </row>
    <row r="27" spans="1:35" ht="15.75" customHeight="1" x14ac:dyDescent="0.25">
      <c r="A27" s="141" t="s">
        <v>31</v>
      </c>
      <c r="B27" s="142"/>
      <c r="C27" s="143"/>
      <c r="D27" s="72" t="s">
        <v>12</v>
      </c>
      <c r="E27" s="72" t="s">
        <v>22</v>
      </c>
      <c r="F27" s="72" t="s">
        <v>22</v>
      </c>
      <c r="G27" s="72" t="s">
        <v>22</v>
      </c>
      <c r="H27" s="72" t="s">
        <v>9</v>
      </c>
      <c r="I27" s="72" t="s">
        <v>8</v>
      </c>
      <c r="J27" s="72" t="s">
        <v>8</v>
      </c>
      <c r="K27" s="72" t="s">
        <v>8</v>
      </c>
      <c r="L27" s="72" t="s">
        <v>8</v>
      </c>
      <c r="M27" s="72" t="s">
        <v>8</v>
      </c>
      <c r="N27" s="72" t="s">
        <v>9</v>
      </c>
      <c r="O27" s="72" t="s">
        <v>8</v>
      </c>
      <c r="P27" s="72" t="s">
        <v>8</v>
      </c>
      <c r="Q27" s="72" t="s">
        <v>9</v>
      </c>
      <c r="R27" s="72" t="s">
        <v>9</v>
      </c>
      <c r="S27" s="72" t="s">
        <v>9</v>
      </c>
      <c r="T27" s="72" t="s">
        <v>8</v>
      </c>
      <c r="U27" s="72" t="s">
        <v>8</v>
      </c>
      <c r="V27" s="72" t="s">
        <v>8</v>
      </c>
      <c r="W27" s="72" t="s">
        <v>8</v>
      </c>
      <c r="X27" s="72" t="s">
        <v>9</v>
      </c>
      <c r="Y27" s="27" t="s">
        <v>9</v>
      </c>
      <c r="Z27" s="27" t="s">
        <v>9</v>
      </c>
      <c r="AA27" s="27" t="s">
        <v>9</v>
      </c>
      <c r="AB27" s="27" t="s">
        <v>8</v>
      </c>
      <c r="AC27" s="27" t="s">
        <v>8</v>
      </c>
      <c r="AD27" s="27" t="s">
        <v>9</v>
      </c>
      <c r="AE27" s="27" t="s">
        <v>9</v>
      </c>
      <c r="AF27" s="27" t="s">
        <v>9</v>
      </c>
      <c r="AG27" s="27" t="s">
        <v>9</v>
      </c>
      <c r="AH27" s="13">
        <f t="shared" si="0"/>
        <v>0.96666666666666667</v>
      </c>
      <c r="AI27"/>
    </row>
    <row r="28" spans="1:35" ht="15.75" customHeight="1" x14ac:dyDescent="0.25">
      <c r="A28" s="156" t="s">
        <v>32</v>
      </c>
      <c r="B28" s="157"/>
      <c r="C28" s="158"/>
      <c r="D28" s="82" t="s">
        <v>124</v>
      </c>
      <c r="E28" s="82" t="s">
        <v>124</v>
      </c>
      <c r="F28" s="82" t="s">
        <v>124</v>
      </c>
      <c r="G28" s="82" t="s">
        <v>124</v>
      </c>
      <c r="H28" s="82" t="s">
        <v>124</v>
      </c>
      <c r="I28" s="82">
        <v>2</v>
      </c>
      <c r="J28" s="82">
        <v>2</v>
      </c>
      <c r="K28" s="82" t="s">
        <v>124</v>
      </c>
      <c r="L28" s="82" t="s">
        <v>124</v>
      </c>
      <c r="M28" s="82" t="s">
        <v>124</v>
      </c>
      <c r="N28" s="82">
        <v>2</v>
      </c>
      <c r="O28" s="82">
        <v>2</v>
      </c>
      <c r="P28" s="82">
        <v>4</v>
      </c>
      <c r="Q28" s="82">
        <v>2</v>
      </c>
      <c r="R28" s="28">
        <v>2</v>
      </c>
      <c r="S28" s="28">
        <v>2</v>
      </c>
      <c r="T28" s="28">
        <v>2</v>
      </c>
      <c r="U28" s="28" t="s">
        <v>116</v>
      </c>
      <c r="V28" s="28" t="s">
        <v>116</v>
      </c>
      <c r="W28" s="28" t="s">
        <v>116</v>
      </c>
      <c r="X28" s="28" t="s">
        <v>116</v>
      </c>
      <c r="Y28" s="28">
        <v>2</v>
      </c>
      <c r="Z28" s="28">
        <v>2</v>
      </c>
      <c r="AA28" s="28">
        <v>2</v>
      </c>
      <c r="AB28" s="28" t="s">
        <v>124</v>
      </c>
      <c r="AC28" s="28">
        <v>0</v>
      </c>
      <c r="AD28" s="28">
        <v>2</v>
      </c>
      <c r="AE28" s="28">
        <v>2</v>
      </c>
      <c r="AF28" s="28" t="s">
        <v>124</v>
      </c>
      <c r="AG28" s="28" t="s">
        <v>124</v>
      </c>
      <c r="AH28" s="17">
        <f t="shared" si="0"/>
        <v>0.96666666666666667</v>
      </c>
      <c r="AI28"/>
    </row>
    <row r="29" spans="1:35" ht="15.75" customHeight="1" x14ac:dyDescent="0.25">
      <c r="A29" s="153" t="s">
        <v>99</v>
      </c>
      <c r="B29" s="154"/>
      <c r="C29" s="155"/>
      <c r="D29" s="29">
        <v>0</v>
      </c>
      <c r="E29" s="29">
        <v>0</v>
      </c>
      <c r="F29" s="29">
        <v>0</v>
      </c>
      <c r="G29" s="83">
        <v>0</v>
      </c>
      <c r="H29" s="83">
        <v>0</v>
      </c>
      <c r="I29" s="83">
        <v>0</v>
      </c>
      <c r="J29" s="83">
        <v>0</v>
      </c>
      <c r="K29" s="83" t="s">
        <v>203</v>
      </c>
      <c r="L29" s="83" t="s">
        <v>204</v>
      </c>
      <c r="M29" s="83" t="s">
        <v>205</v>
      </c>
      <c r="N29" s="83" t="s">
        <v>206</v>
      </c>
      <c r="O29" s="83" t="s">
        <v>207</v>
      </c>
      <c r="P29" s="83">
        <v>0</v>
      </c>
      <c r="Q29" s="83">
        <v>0</v>
      </c>
      <c r="R29" s="83" t="s">
        <v>208</v>
      </c>
      <c r="S29" s="83">
        <v>0</v>
      </c>
      <c r="T29" s="83">
        <v>0</v>
      </c>
      <c r="U29" s="83" t="s">
        <v>211</v>
      </c>
      <c r="V29" s="83" t="s">
        <v>210</v>
      </c>
      <c r="W29" s="83" t="s">
        <v>209</v>
      </c>
      <c r="X29" s="83" t="s">
        <v>203</v>
      </c>
      <c r="Y29" s="83" t="s">
        <v>203</v>
      </c>
      <c r="Z29" s="83" t="s">
        <v>203</v>
      </c>
      <c r="AA29" s="83">
        <v>0</v>
      </c>
      <c r="AB29" s="83" t="s">
        <v>127</v>
      </c>
      <c r="AC29" s="83" t="s">
        <v>212</v>
      </c>
      <c r="AD29" s="83">
        <v>0</v>
      </c>
      <c r="AE29" s="83">
        <v>0</v>
      </c>
      <c r="AF29" s="83">
        <v>0</v>
      </c>
      <c r="AG29" s="83">
        <v>0</v>
      </c>
      <c r="AH29" s="19">
        <f t="shared" si="0"/>
        <v>0.46666666666666667</v>
      </c>
      <c r="AI29"/>
    </row>
    <row r="30" spans="1:35" ht="15.75" customHeight="1" x14ac:dyDescent="0.25">
      <c r="A30" s="165" t="s">
        <v>33</v>
      </c>
      <c r="B30" s="166"/>
      <c r="C30" s="167"/>
      <c r="D30" s="84" t="s">
        <v>12</v>
      </c>
      <c r="E30" s="84" t="s">
        <v>22</v>
      </c>
      <c r="F30" s="84" t="s">
        <v>9</v>
      </c>
      <c r="G30" s="84" t="s">
        <v>9</v>
      </c>
      <c r="H30" s="84" t="s">
        <v>9</v>
      </c>
      <c r="I30" s="84" t="s">
        <v>8</v>
      </c>
      <c r="J30" s="84" t="s">
        <v>8</v>
      </c>
      <c r="K30" s="84" t="s">
        <v>8</v>
      </c>
      <c r="L30" s="84" t="s">
        <v>8</v>
      </c>
      <c r="M30" s="84" t="s">
        <v>8</v>
      </c>
      <c r="N30" s="84" t="s">
        <v>9</v>
      </c>
      <c r="O30" s="84" t="s">
        <v>8</v>
      </c>
      <c r="P30" s="84" t="s">
        <v>8</v>
      </c>
      <c r="Q30" s="84" t="s">
        <v>8</v>
      </c>
      <c r="R30" s="84" t="s">
        <v>9</v>
      </c>
      <c r="S30" s="84" t="s">
        <v>9</v>
      </c>
      <c r="T30" s="84" t="s">
        <v>8</v>
      </c>
      <c r="U30" s="84" t="s">
        <v>8</v>
      </c>
      <c r="V30" s="84" t="s">
        <v>8</v>
      </c>
      <c r="W30" s="84" t="s">
        <v>8</v>
      </c>
      <c r="X30" s="84" t="s">
        <v>9</v>
      </c>
      <c r="Y30" s="84" t="s">
        <v>9</v>
      </c>
      <c r="Z30" s="84" t="s">
        <v>9</v>
      </c>
      <c r="AA30" s="84" t="s">
        <v>9</v>
      </c>
      <c r="AB30" s="84" t="s">
        <v>8</v>
      </c>
      <c r="AC30" s="84" t="s">
        <v>8</v>
      </c>
      <c r="AD30" s="84" t="s">
        <v>9</v>
      </c>
      <c r="AE30" s="84" t="s">
        <v>9</v>
      </c>
      <c r="AF30" s="84" t="s">
        <v>9</v>
      </c>
      <c r="AG30" s="84" t="s">
        <v>9</v>
      </c>
      <c r="AH30" s="19">
        <f t="shared" si="0"/>
        <v>0.96666666666666667</v>
      </c>
      <c r="AI30"/>
    </row>
    <row r="31" spans="1:35" ht="15.75" customHeight="1" x14ac:dyDescent="0.25">
      <c r="A31" s="141" t="s">
        <v>34</v>
      </c>
      <c r="B31" s="142"/>
      <c r="C31" s="143"/>
      <c r="D31" s="72" t="s">
        <v>12</v>
      </c>
      <c r="E31" s="72" t="s">
        <v>22</v>
      </c>
      <c r="F31" s="72" t="s">
        <v>22</v>
      </c>
      <c r="G31" s="72" t="s">
        <v>22</v>
      </c>
      <c r="H31" s="72" t="s">
        <v>22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9</v>
      </c>
      <c r="O31" s="72" t="s">
        <v>8</v>
      </c>
      <c r="P31" s="72" t="s">
        <v>8</v>
      </c>
      <c r="Q31" s="72" t="s">
        <v>9</v>
      </c>
      <c r="R31" s="72" t="s">
        <v>9</v>
      </c>
      <c r="S31" s="72" t="s">
        <v>9</v>
      </c>
      <c r="T31" s="72" t="s">
        <v>8</v>
      </c>
      <c r="U31" s="72" t="s">
        <v>8</v>
      </c>
      <c r="V31" s="72" t="s">
        <v>8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9</v>
      </c>
      <c r="AB31" s="72" t="s">
        <v>8</v>
      </c>
      <c r="AC31" s="72" t="s">
        <v>8</v>
      </c>
      <c r="AD31" s="72" t="s">
        <v>9</v>
      </c>
      <c r="AE31" s="72" t="s">
        <v>9</v>
      </c>
      <c r="AF31" s="72" t="s">
        <v>9</v>
      </c>
      <c r="AG31" s="72" t="s">
        <v>9</v>
      </c>
      <c r="AH31" s="13">
        <f t="shared" si="0"/>
        <v>0.96666666666666667</v>
      </c>
      <c r="AI31"/>
    </row>
    <row r="32" spans="1:35" ht="15.75" customHeight="1" x14ac:dyDescent="0.25">
      <c r="A32" s="168" t="s">
        <v>35</v>
      </c>
      <c r="B32" s="169"/>
      <c r="C32" s="170"/>
      <c r="D32" s="85" t="s">
        <v>12</v>
      </c>
      <c r="E32" s="85" t="s">
        <v>12</v>
      </c>
      <c r="F32" s="85" t="s">
        <v>12</v>
      </c>
      <c r="G32" s="85" t="s">
        <v>22</v>
      </c>
      <c r="H32" s="85" t="s">
        <v>22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9</v>
      </c>
      <c r="O32" s="85" t="s">
        <v>8</v>
      </c>
      <c r="P32" s="85" t="s">
        <v>8</v>
      </c>
      <c r="Q32" s="85" t="s">
        <v>9</v>
      </c>
      <c r="R32" s="85" t="s">
        <v>9</v>
      </c>
      <c r="S32" s="85" t="s">
        <v>9</v>
      </c>
      <c r="T32" s="85" t="s">
        <v>8</v>
      </c>
      <c r="U32" s="85" t="s">
        <v>8</v>
      </c>
      <c r="V32" s="85" t="s">
        <v>8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9</v>
      </c>
      <c r="AB32" s="85" t="s">
        <v>8</v>
      </c>
      <c r="AC32" s="85" t="s">
        <v>8</v>
      </c>
      <c r="AD32" s="85" t="s">
        <v>9</v>
      </c>
      <c r="AE32" s="85" t="s">
        <v>9</v>
      </c>
      <c r="AF32" s="85" t="s">
        <v>9</v>
      </c>
      <c r="AG32" s="85" t="s">
        <v>9</v>
      </c>
      <c r="AH32" s="17">
        <f t="shared" si="0"/>
        <v>0.9</v>
      </c>
      <c r="AI32"/>
    </row>
    <row r="33" spans="1:44" ht="15.75" customHeight="1" x14ac:dyDescent="0.25">
      <c r="A33" s="144" t="s">
        <v>36</v>
      </c>
      <c r="B33" s="145"/>
      <c r="C33" s="146"/>
      <c r="D33" s="81" t="s">
        <v>12</v>
      </c>
      <c r="E33" s="81" t="s">
        <v>22</v>
      </c>
      <c r="F33" s="81" t="s">
        <v>22</v>
      </c>
      <c r="G33" s="81" t="s">
        <v>22</v>
      </c>
      <c r="H33" s="81" t="s">
        <v>22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24" t="s">
        <v>11</v>
      </c>
      <c r="V33" s="24" t="s">
        <v>11</v>
      </c>
      <c r="W33" s="24" t="s">
        <v>11</v>
      </c>
      <c r="X33" s="24" t="s">
        <v>11</v>
      </c>
      <c r="Y33" s="24" t="s">
        <v>11</v>
      </c>
      <c r="Z33" s="25" t="s">
        <v>11</v>
      </c>
      <c r="AA33" s="25" t="s">
        <v>11</v>
      </c>
      <c r="AB33" s="25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19">
        <f t="shared" si="0"/>
        <v>0.96666666666666667</v>
      </c>
      <c r="AI33"/>
    </row>
    <row r="34" spans="1:44" ht="15.75" customHeight="1" x14ac:dyDescent="0.25">
      <c r="A34" s="144" t="s">
        <v>95</v>
      </c>
      <c r="B34" s="145"/>
      <c r="C34" s="146"/>
      <c r="D34" s="25" t="s">
        <v>12</v>
      </c>
      <c r="E34" s="25" t="s">
        <v>12</v>
      </c>
      <c r="F34" s="25" t="s">
        <v>12</v>
      </c>
      <c r="G34" s="25" t="s">
        <v>22</v>
      </c>
      <c r="H34" s="25" t="s">
        <v>22</v>
      </c>
      <c r="I34" s="25" t="s">
        <v>22</v>
      </c>
      <c r="J34" s="25" t="s">
        <v>11</v>
      </c>
      <c r="K34" s="25" t="s">
        <v>11</v>
      </c>
      <c r="L34" s="25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81" t="s">
        <v>11</v>
      </c>
      <c r="R34" s="81" t="s">
        <v>11</v>
      </c>
      <c r="S34" s="81" t="s">
        <v>11</v>
      </c>
      <c r="T34" s="81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19">
        <f t="shared" si="0"/>
        <v>0.9</v>
      </c>
      <c r="AI34"/>
    </row>
    <row r="35" spans="1:44" ht="15.75" customHeight="1" thickBot="1" x14ac:dyDescent="0.3">
      <c r="A35" s="171" t="s">
        <v>96</v>
      </c>
      <c r="B35" s="172"/>
      <c r="C35" s="173"/>
      <c r="D35" s="97" t="s">
        <v>12</v>
      </c>
      <c r="E35" s="97" t="s">
        <v>12</v>
      </c>
      <c r="F35" s="97" t="s">
        <v>12</v>
      </c>
      <c r="G35" s="97" t="s">
        <v>22</v>
      </c>
      <c r="H35" s="97" t="s">
        <v>22</v>
      </c>
      <c r="I35" s="97" t="s">
        <v>22</v>
      </c>
      <c r="J35" s="97" t="s">
        <v>11</v>
      </c>
      <c r="K35" s="97" t="s">
        <v>11</v>
      </c>
      <c r="L35" s="97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95" t="s">
        <v>11</v>
      </c>
      <c r="R35" s="95" t="s">
        <v>11</v>
      </c>
      <c r="S35" s="95" t="s">
        <v>11</v>
      </c>
      <c r="T35" s="95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6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11</v>
      </c>
      <c r="AH35" s="98">
        <f t="shared" si="0"/>
        <v>0.9</v>
      </c>
      <c r="AI35"/>
    </row>
    <row r="36" spans="1:44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>IF(AND(AA5&gt;0,COUNTA(AA6:AA37)&gt;0,COUNTA(AA6:AA37)-COUNTIF(AA6:AA37,"NB")-COUNTIF(AA30:AA31, "0")=COUNTA(AA6:AA37)),"AB","")</f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>IF(AND(AA5:AA5&gt;0,COUNTA(AA6:AA35),COUNTIF(AA6:AA35,"NB")+COUNTIF(AA6:AA35,0)=COUNTA(AA6:AA35)),"ANB","")</f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30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G22 G6:G7 M9:N14 M30:N33 Z6:Z7 G27 M6:N7 M18:N24 M27:N27 S30:S32 S22:S27 Z30:Z33 Y27:Z27 Z18:Z22 AC30:AE33 AC18:AE22 AC6:AE7 AC27:AE27 AC23:AG24">
    <cfRule type="cellIs" dxfId="529" priority="449" stopIfTrue="1" operator="equal">
      <formula>"B"</formula>
    </cfRule>
    <cfRule type="cellIs" dxfId="528" priority="450" stopIfTrue="1" operator="equal">
      <formula>"M"</formula>
    </cfRule>
    <cfRule type="cellIs" dxfId="527" priority="451" stopIfTrue="1" operator="between">
      <formula>"NB"</formula>
      <formula>"NB^"</formula>
    </cfRule>
  </conditionalFormatting>
  <conditionalFormatting sqref="G28:G29 M28:N29 S28:S29 Y28:Z29 AC28:AE29">
    <cfRule type="cellIs" dxfId="526" priority="452" stopIfTrue="1" operator="equal">
      <formula>0</formula>
    </cfRule>
  </conditionalFormatting>
  <conditionalFormatting sqref="Z15:Z17 AC15:AE17">
    <cfRule type="cellIs" dxfId="525" priority="439" stopIfTrue="1" operator="equal">
      <formula>"B"</formula>
    </cfRule>
    <cfRule type="cellIs" dxfId="524" priority="440" stopIfTrue="1" operator="equal">
      <formula>"M"</formula>
    </cfRule>
    <cfRule type="cellIs" dxfId="523" priority="441" stopIfTrue="1" operator="between">
      <formula>"NB"</formula>
      <formula>"NB^"</formula>
    </cfRule>
  </conditionalFormatting>
  <conditionalFormatting sqref="G8 Z8">
    <cfRule type="cellIs" dxfId="522" priority="424" stopIfTrue="1" operator="equal">
      <formula>"B"</formula>
    </cfRule>
    <cfRule type="cellIs" dxfId="521" priority="425" stopIfTrue="1" operator="equal">
      <formula>"M"</formula>
    </cfRule>
    <cfRule type="cellIs" dxfId="520" priority="426" stopIfTrue="1" operator="between">
      <formula>"NB"</formula>
      <formula>"NB^"</formula>
    </cfRule>
  </conditionalFormatting>
  <conditionalFormatting sqref="M34:N34 Z34 AC34:AE34">
    <cfRule type="cellIs" dxfId="519" priority="411" stopIfTrue="1" operator="equal">
      <formula>"B"</formula>
    </cfRule>
    <cfRule type="cellIs" dxfId="518" priority="412" stopIfTrue="1" operator="equal">
      <formula>"M"</formula>
    </cfRule>
    <cfRule type="cellIs" dxfId="517" priority="413" stopIfTrue="1" operator="between">
      <formula>"NB"</formula>
      <formula>"NB^"</formula>
    </cfRule>
  </conditionalFormatting>
  <conditionalFormatting sqref="M35:N35 Z35 AC35:AE35">
    <cfRule type="cellIs" dxfId="516" priority="408" stopIfTrue="1" operator="equal">
      <formula>"B"</formula>
    </cfRule>
    <cfRule type="cellIs" dxfId="515" priority="409" stopIfTrue="1" operator="equal">
      <formula>"M"</formula>
    </cfRule>
    <cfRule type="cellIs" dxfId="514" priority="410" stopIfTrue="1" operator="between">
      <formula>"NB"</formula>
      <formula>"NB^"</formula>
    </cfRule>
  </conditionalFormatting>
  <conditionalFormatting sqref="G18:G21">
    <cfRule type="cellIs" dxfId="513" priority="397" stopIfTrue="1" operator="equal">
      <formula>"B"</formula>
    </cfRule>
    <cfRule type="cellIs" dxfId="512" priority="398" stopIfTrue="1" operator="equal">
      <formula>"M"</formula>
    </cfRule>
    <cfRule type="cellIs" dxfId="511" priority="399" stopIfTrue="1" operator="between">
      <formula>"NB"</formula>
      <formula>"NB^"</formula>
    </cfRule>
  </conditionalFormatting>
  <conditionalFormatting sqref="G35">
    <cfRule type="cellIs" dxfId="510" priority="382" stopIfTrue="1" operator="equal">
      <formula>"B"</formula>
    </cfRule>
    <cfRule type="cellIs" dxfId="509" priority="383" stopIfTrue="1" operator="equal">
      <formula>"M"</formula>
    </cfRule>
    <cfRule type="cellIs" dxfId="508" priority="384" stopIfTrue="1" operator="between">
      <formula>"NB"</formula>
      <formula>"NB^"</formula>
    </cfRule>
  </conditionalFormatting>
  <conditionalFormatting sqref="G30:G33">
    <cfRule type="cellIs" dxfId="507" priority="401" stopIfTrue="1" operator="equal">
      <formula>"B"</formula>
    </cfRule>
    <cfRule type="cellIs" dxfId="506" priority="402" stopIfTrue="1" operator="equal">
      <formula>"M"</formula>
    </cfRule>
    <cfRule type="cellIs" dxfId="505" priority="403" stopIfTrue="1" operator="between">
      <formula>"NB"</formula>
      <formula>"NB^"</formula>
    </cfRule>
  </conditionalFormatting>
  <conditionalFormatting sqref="G34">
    <cfRule type="cellIs" dxfId="504" priority="385" stopIfTrue="1" operator="equal">
      <formula>"B"</formula>
    </cfRule>
    <cfRule type="cellIs" dxfId="503" priority="386" stopIfTrue="1" operator="equal">
      <formula>"M"</formula>
    </cfRule>
    <cfRule type="cellIs" dxfId="502" priority="387" stopIfTrue="1" operator="between">
      <formula>"NB"</formula>
      <formula>"NB^"</formula>
    </cfRule>
  </conditionalFormatting>
  <conditionalFormatting sqref="T22:X27 Y23:Z26 T9:Z14 Y22 T30:Y32">
    <cfRule type="cellIs" dxfId="501" priority="359" stopIfTrue="1" operator="equal">
      <formula>"B"</formula>
    </cfRule>
    <cfRule type="cellIs" dxfId="500" priority="360" stopIfTrue="1" operator="equal">
      <formula>"M"</formula>
    </cfRule>
    <cfRule type="cellIs" dxfId="499" priority="361" stopIfTrue="1" operator="between">
      <formula>"NB"</formula>
      <formula>"NB^"</formula>
    </cfRule>
  </conditionalFormatting>
  <conditionalFormatting sqref="T28:X29">
    <cfRule type="cellIs" dxfId="498" priority="362" stopIfTrue="1" operator="equal">
      <formula>0</formula>
    </cfRule>
  </conditionalFormatting>
  <conditionalFormatting sqref="E15:J17 L15:M17">
    <cfRule type="cellIs" dxfId="497" priority="323" stopIfTrue="1" operator="equal">
      <formula>"B"</formula>
    </cfRule>
    <cfRule type="cellIs" dxfId="496" priority="324" stopIfTrue="1" operator="equal">
      <formula>"M"</formula>
    </cfRule>
    <cfRule type="cellIs" dxfId="495" priority="325" stopIfTrue="1" operator="between">
      <formula>"NB"</formula>
      <formula>"NB^"</formula>
    </cfRule>
  </conditionalFormatting>
  <conditionalFormatting sqref="E18:F21 E27:F27">
    <cfRule type="cellIs" dxfId="494" priority="320" stopIfTrue="1" operator="equal">
      <formula>"B"</formula>
    </cfRule>
    <cfRule type="cellIs" dxfId="493" priority="321" stopIfTrue="1" operator="equal">
      <formula>"M"</formula>
    </cfRule>
    <cfRule type="cellIs" dxfId="492" priority="322" stopIfTrue="1" operator="between">
      <formula>"NB"</formula>
      <formula>"NB^"</formula>
    </cfRule>
  </conditionalFormatting>
  <conditionalFormatting sqref="E6:F7">
    <cfRule type="cellIs" dxfId="491" priority="317" stopIfTrue="1" operator="equal">
      <formula>"B"</formula>
    </cfRule>
    <cfRule type="cellIs" dxfId="490" priority="318" stopIfTrue="1" operator="equal">
      <formula>"M"</formula>
    </cfRule>
    <cfRule type="cellIs" dxfId="489" priority="319" stopIfTrue="1" operator="between">
      <formula>"NB"</formula>
      <formula>"NB^"</formula>
    </cfRule>
  </conditionalFormatting>
  <conditionalFormatting sqref="E35:F35">
    <cfRule type="cellIs" dxfId="488" priority="308" stopIfTrue="1" operator="equal">
      <formula>"B"</formula>
    </cfRule>
    <cfRule type="cellIs" dxfId="487" priority="309" stopIfTrue="1" operator="equal">
      <formula>"M"</formula>
    </cfRule>
    <cfRule type="cellIs" dxfId="486" priority="310" stopIfTrue="1" operator="between">
      <formula>"NB"</formula>
      <formula>"NB^"</formula>
    </cfRule>
  </conditionalFormatting>
  <conditionalFormatting sqref="G9:G14 E14:F14 E30:F33">
    <cfRule type="cellIs" dxfId="485" priority="327" stopIfTrue="1" operator="equal">
      <formula>"B"</formula>
    </cfRule>
    <cfRule type="cellIs" dxfId="484" priority="328" stopIfTrue="1" operator="equal">
      <formula>"M"</formula>
    </cfRule>
    <cfRule type="cellIs" dxfId="483" priority="329" stopIfTrue="1" operator="between">
      <formula>"NB"</formula>
      <formula>"NB^"</formula>
    </cfRule>
  </conditionalFormatting>
  <conditionalFormatting sqref="G23:G26 E22:F26 H23:J24 L23:L24">
    <cfRule type="cellIs" dxfId="482" priority="314" stopIfTrue="1" operator="equal">
      <formula>"B"</formula>
    </cfRule>
    <cfRule type="cellIs" dxfId="481" priority="315" stopIfTrue="1" operator="equal">
      <formula>"M"</formula>
    </cfRule>
    <cfRule type="cellIs" dxfId="480" priority="316" stopIfTrue="1" operator="between">
      <formula>"NB"</formula>
      <formula>"NB^"</formula>
    </cfRule>
  </conditionalFormatting>
  <conditionalFormatting sqref="E34:F34">
    <cfRule type="cellIs" dxfId="479" priority="311" stopIfTrue="1" operator="equal">
      <formula>"B"</formula>
    </cfRule>
    <cfRule type="cellIs" dxfId="478" priority="312" stopIfTrue="1" operator="equal">
      <formula>"M"</formula>
    </cfRule>
    <cfRule type="cellIs" dxfId="477" priority="313" stopIfTrue="1" operator="between">
      <formula>"NB"</formula>
      <formula>"NB^"</formula>
    </cfRule>
  </conditionalFormatting>
  <conditionalFormatting sqref="H22 H6:H7 H27">
    <cfRule type="cellIs" dxfId="476" priority="300" stopIfTrue="1" operator="equal">
      <formula>"B"</formula>
    </cfRule>
    <cfRule type="cellIs" dxfId="475" priority="301" stopIfTrue="1" operator="equal">
      <formula>"M"</formula>
    </cfRule>
    <cfRule type="cellIs" dxfId="474" priority="302" stopIfTrue="1" operator="between">
      <formula>"NB"</formula>
      <formula>"NB^"</formula>
    </cfRule>
  </conditionalFormatting>
  <conditionalFormatting sqref="H28:H29">
    <cfRule type="cellIs" dxfId="473" priority="303" stopIfTrue="1" operator="equal">
      <formula>0</formula>
    </cfRule>
  </conditionalFormatting>
  <conditionalFormatting sqref="H8">
    <cfRule type="cellIs" dxfId="472" priority="297" stopIfTrue="1" operator="equal">
      <formula>"B"</formula>
    </cfRule>
    <cfRule type="cellIs" dxfId="471" priority="298" stopIfTrue="1" operator="equal">
      <formula>"M"</formula>
    </cfRule>
    <cfRule type="cellIs" dxfId="470" priority="299" stopIfTrue="1" operator="between">
      <formula>"NB"</formula>
      <formula>"NB^"</formula>
    </cfRule>
  </conditionalFormatting>
  <conditionalFormatting sqref="H18:H21">
    <cfRule type="cellIs" dxfId="469" priority="291" stopIfTrue="1" operator="equal">
      <formula>"B"</formula>
    </cfRule>
    <cfRule type="cellIs" dxfId="468" priority="292" stopIfTrue="1" operator="equal">
      <formula>"M"</formula>
    </cfRule>
    <cfRule type="cellIs" dxfId="467" priority="293" stopIfTrue="1" operator="between">
      <formula>"NB"</formula>
      <formula>"NB^"</formula>
    </cfRule>
  </conditionalFormatting>
  <conditionalFormatting sqref="H35">
    <cfRule type="cellIs" dxfId="466" priority="282" stopIfTrue="1" operator="equal">
      <formula>"B"</formula>
    </cfRule>
    <cfRule type="cellIs" dxfId="465" priority="283" stopIfTrue="1" operator="equal">
      <formula>"M"</formula>
    </cfRule>
    <cfRule type="cellIs" dxfId="464" priority="284" stopIfTrue="1" operator="between">
      <formula>"NB"</formula>
      <formula>"NB^"</formula>
    </cfRule>
  </conditionalFormatting>
  <conditionalFormatting sqref="H30:H33">
    <cfRule type="cellIs" dxfId="463" priority="294" stopIfTrue="1" operator="equal">
      <formula>"B"</formula>
    </cfRule>
    <cfRule type="cellIs" dxfId="462" priority="295" stopIfTrue="1" operator="equal">
      <formula>"M"</formula>
    </cfRule>
    <cfRule type="cellIs" dxfId="461" priority="296" stopIfTrue="1" operator="between">
      <formula>"NB"</formula>
      <formula>"NB^"</formula>
    </cfRule>
  </conditionalFormatting>
  <conditionalFormatting sqref="H34">
    <cfRule type="cellIs" dxfId="460" priority="285" stopIfTrue="1" operator="equal">
      <formula>"B"</formula>
    </cfRule>
    <cfRule type="cellIs" dxfId="459" priority="286" stopIfTrue="1" operator="equal">
      <formula>"M"</formula>
    </cfRule>
    <cfRule type="cellIs" dxfId="458" priority="287" stopIfTrue="1" operator="between">
      <formula>"NB"</formula>
      <formula>"NB^"</formula>
    </cfRule>
  </conditionalFormatting>
  <conditionalFormatting sqref="H9:H14">
    <cfRule type="cellIs" dxfId="457" priority="279" stopIfTrue="1" operator="equal">
      <formula>"B"</formula>
    </cfRule>
    <cfRule type="cellIs" dxfId="456" priority="280" stopIfTrue="1" operator="equal">
      <formula>"M"</formula>
    </cfRule>
    <cfRule type="cellIs" dxfId="455" priority="281" stopIfTrue="1" operator="between">
      <formula>"NB"</formula>
      <formula>"NB^"</formula>
    </cfRule>
  </conditionalFormatting>
  <conditionalFormatting sqref="H25:H26">
    <cfRule type="cellIs" dxfId="454" priority="276" stopIfTrue="1" operator="equal">
      <formula>"B"</formula>
    </cfRule>
    <cfRule type="cellIs" dxfId="453" priority="277" stopIfTrue="1" operator="equal">
      <formula>"M"</formula>
    </cfRule>
    <cfRule type="cellIs" dxfId="452" priority="278" stopIfTrue="1" operator="between">
      <formula>"NB"</formula>
      <formula>"NB^"</formula>
    </cfRule>
  </conditionalFormatting>
  <conditionalFormatting sqref="N15:N17">
    <cfRule type="cellIs" dxfId="451" priority="270" stopIfTrue="1" operator="equal">
      <formula>"B"</formula>
    </cfRule>
    <cfRule type="cellIs" dxfId="450" priority="271" stopIfTrue="1" operator="equal">
      <formula>"M"</formula>
    </cfRule>
    <cfRule type="cellIs" dxfId="449" priority="272" stopIfTrue="1" operator="between">
      <formula>"NB"</formula>
      <formula>"NB^"</formula>
    </cfRule>
  </conditionalFormatting>
  <conditionalFormatting sqref="I22:J22 I6:J7 I27:J27 L27 L6:L7 L22">
    <cfRule type="cellIs" dxfId="448" priority="263" stopIfTrue="1" operator="equal">
      <formula>"B"</formula>
    </cfRule>
    <cfRule type="cellIs" dxfId="447" priority="264" stopIfTrue="1" operator="equal">
      <formula>"M"</formula>
    </cfRule>
    <cfRule type="cellIs" dxfId="446" priority="265" stopIfTrue="1" operator="between">
      <formula>"NB"</formula>
      <formula>"NB^"</formula>
    </cfRule>
  </conditionalFormatting>
  <conditionalFormatting sqref="I28:J29 L28:L29">
    <cfRule type="cellIs" dxfId="445" priority="266" stopIfTrue="1" operator="equal">
      <formula>0</formula>
    </cfRule>
  </conditionalFormatting>
  <conditionalFormatting sqref="I8:J8">
    <cfRule type="cellIs" dxfId="444" priority="260" stopIfTrue="1" operator="equal">
      <formula>"B"</formula>
    </cfRule>
    <cfRule type="cellIs" dxfId="443" priority="261" stopIfTrue="1" operator="equal">
      <formula>"M"</formula>
    </cfRule>
    <cfRule type="cellIs" dxfId="442" priority="262" stopIfTrue="1" operator="between">
      <formula>"NB"</formula>
      <formula>"NB^"</formula>
    </cfRule>
  </conditionalFormatting>
  <conditionalFormatting sqref="I18:J21 L18:L21">
    <cfRule type="cellIs" dxfId="441" priority="254" stopIfTrue="1" operator="equal">
      <formula>"B"</formula>
    </cfRule>
    <cfRule type="cellIs" dxfId="440" priority="255" stopIfTrue="1" operator="equal">
      <formula>"M"</formula>
    </cfRule>
    <cfRule type="cellIs" dxfId="439" priority="256" stopIfTrue="1" operator="between">
      <formula>"NB"</formula>
      <formula>"NB^"</formula>
    </cfRule>
  </conditionalFormatting>
  <conditionalFormatting sqref="I35:J35 L35">
    <cfRule type="cellIs" dxfId="438" priority="245" stopIfTrue="1" operator="equal">
      <formula>"B"</formula>
    </cfRule>
    <cfRule type="cellIs" dxfId="437" priority="246" stopIfTrue="1" operator="equal">
      <formula>"M"</formula>
    </cfRule>
    <cfRule type="cellIs" dxfId="436" priority="247" stopIfTrue="1" operator="between">
      <formula>"NB"</formula>
      <formula>"NB^"</formula>
    </cfRule>
  </conditionalFormatting>
  <conditionalFormatting sqref="I30:J33 L30:L33">
    <cfRule type="cellIs" dxfId="435" priority="257" stopIfTrue="1" operator="equal">
      <formula>"B"</formula>
    </cfRule>
    <cfRule type="cellIs" dxfId="434" priority="258" stopIfTrue="1" operator="equal">
      <formula>"M"</formula>
    </cfRule>
    <cfRule type="cellIs" dxfId="433" priority="259" stopIfTrue="1" operator="between">
      <formula>"NB"</formula>
      <formula>"NB^"</formula>
    </cfRule>
  </conditionalFormatting>
  <conditionalFormatting sqref="I34:J34 L34">
    <cfRule type="cellIs" dxfId="432" priority="248" stopIfTrue="1" operator="equal">
      <formula>"B"</formula>
    </cfRule>
    <cfRule type="cellIs" dxfId="431" priority="249" stopIfTrue="1" operator="equal">
      <formula>"M"</formula>
    </cfRule>
    <cfRule type="cellIs" dxfId="430" priority="250" stopIfTrue="1" operator="between">
      <formula>"NB"</formula>
      <formula>"NB^"</formula>
    </cfRule>
  </conditionalFormatting>
  <conditionalFormatting sqref="I9:J14 L9:L14">
    <cfRule type="cellIs" dxfId="429" priority="242" stopIfTrue="1" operator="equal">
      <formula>"B"</formula>
    </cfRule>
    <cfRule type="cellIs" dxfId="428" priority="243" stopIfTrue="1" operator="equal">
      <formula>"M"</formula>
    </cfRule>
    <cfRule type="cellIs" dxfId="427" priority="244" stopIfTrue="1" operator="between">
      <formula>"NB"</formula>
      <formula>"NB^"</formula>
    </cfRule>
  </conditionalFormatting>
  <conditionalFormatting sqref="I25:J26 L25:N26">
    <cfRule type="cellIs" dxfId="426" priority="239" stopIfTrue="1" operator="equal">
      <formula>"B"</formula>
    </cfRule>
    <cfRule type="cellIs" dxfId="425" priority="240" stopIfTrue="1" operator="equal">
      <formula>"M"</formula>
    </cfRule>
    <cfRule type="cellIs" dxfId="424" priority="241" stopIfTrue="1" operator="between">
      <formula>"NB"</formula>
      <formula>"NB^"</formula>
    </cfRule>
  </conditionalFormatting>
  <conditionalFormatting sqref="O30:Q33 O18:Q24 O27:Q27 O9:S14 R33:T33 O6:Y7 R18:Y21">
    <cfRule type="cellIs" dxfId="423" priority="235" stopIfTrue="1" operator="equal">
      <formula>"B"</formula>
    </cfRule>
    <cfRule type="cellIs" dxfId="422" priority="236" stopIfTrue="1" operator="equal">
      <formula>"M"</formula>
    </cfRule>
    <cfRule type="cellIs" dxfId="421" priority="237" stopIfTrue="1" operator="between">
      <formula>"NB"</formula>
      <formula>"NB^"</formula>
    </cfRule>
  </conditionalFormatting>
  <conditionalFormatting sqref="O28:Q29">
    <cfRule type="cellIs" dxfId="420" priority="238" stopIfTrue="1" operator="equal">
      <formula>0</formula>
    </cfRule>
  </conditionalFormatting>
  <conditionalFormatting sqref="O8:Y8">
    <cfRule type="cellIs" dxfId="419" priority="232" stopIfTrue="1" operator="equal">
      <formula>"B"</formula>
    </cfRule>
    <cfRule type="cellIs" dxfId="418" priority="233" stopIfTrue="1" operator="equal">
      <formula>"M"</formula>
    </cfRule>
    <cfRule type="cellIs" dxfId="417" priority="234" stopIfTrue="1" operator="between">
      <formula>"NB"</formula>
      <formula>"NB^"</formula>
    </cfRule>
  </conditionalFormatting>
  <conditionalFormatting sqref="O34:T34">
    <cfRule type="cellIs" dxfId="416" priority="229" stopIfTrue="1" operator="equal">
      <formula>"B"</formula>
    </cfRule>
    <cfRule type="cellIs" dxfId="415" priority="230" stopIfTrue="1" operator="equal">
      <formula>"M"</formula>
    </cfRule>
    <cfRule type="cellIs" dxfId="414" priority="231" stopIfTrue="1" operator="between">
      <formula>"NB"</formula>
      <formula>"NB^"</formula>
    </cfRule>
  </conditionalFormatting>
  <conditionalFormatting sqref="O35:T35">
    <cfRule type="cellIs" dxfId="413" priority="226" stopIfTrue="1" operator="equal">
      <formula>"B"</formula>
    </cfRule>
    <cfRule type="cellIs" dxfId="412" priority="227" stopIfTrue="1" operator="equal">
      <formula>"M"</formula>
    </cfRule>
    <cfRule type="cellIs" dxfId="411" priority="228" stopIfTrue="1" operator="between">
      <formula>"NB"</formula>
      <formula>"NB^"</formula>
    </cfRule>
  </conditionalFormatting>
  <conditionalFormatting sqref="O15:Y17">
    <cfRule type="cellIs" dxfId="410" priority="223" stopIfTrue="1" operator="equal">
      <formula>"B"</formula>
    </cfRule>
    <cfRule type="cellIs" dxfId="409" priority="224" stopIfTrue="1" operator="equal">
      <formula>"M"</formula>
    </cfRule>
    <cfRule type="cellIs" dxfId="408" priority="225" stopIfTrue="1" operator="between">
      <formula>"NB"</formula>
      <formula>"NB^"</formula>
    </cfRule>
  </conditionalFormatting>
  <conditionalFormatting sqref="O25:Q26">
    <cfRule type="cellIs" dxfId="407" priority="220" stopIfTrue="1" operator="equal">
      <formula>"B"</formula>
    </cfRule>
    <cfRule type="cellIs" dxfId="406" priority="221" stopIfTrue="1" operator="equal">
      <formula>"M"</formula>
    </cfRule>
    <cfRule type="cellIs" dxfId="405" priority="222" stopIfTrue="1" operator="between">
      <formula>"NB"</formula>
      <formula>"NB^"</formula>
    </cfRule>
  </conditionalFormatting>
  <conditionalFormatting sqref="R22:R27 R30:R32">
    <cfRule type="cellIs" dxfId="404" priority="216" stopIfTrue="1" operator="equal">
      <formula>"B"</formula>
    </cfRule>
    <cfRule type="cellIs" dxfId="403" priority="217" stopIfTrue="1" operator="equal">
      <formula>"M"</formula>
    </cfRule>
    <cfRule type="cellIs" dxfId="402" priority="218" stopIfTrue="1" operator="between">
      <formula>"NB"</formula>
      <formula>"NB^"</formula>
    </cfRule>
  </conditionalFormatting>
  <conditionalFormatting sqref="R28:R29">
    <cfRule type="cellIs" dxfId="401" priority="219" stopIfTrue="1" operator="equal">
      <formula>0</formula>
    </cfRule>
  </conditionalFormatting>
  <conditionalFormatting sqref="U33:Y33">
    <cfRule type="cellIs" dxfId="400" priority="200" stopIfTrue="1" operator="equal">
      <formula>"B"</formula>
    </cfRule>
    <cfRule type="cellIs" dxfId="399" priority="201" stopIfTrue="1" operator="equal">
      <formula>"M"</formula>
    </cfRule>
    <cfRule type="cellIs" dxfId="398" priority="202" stopIfTrue="1" operator="between">
      <formula>"NB"</formula>
      <formula>"NB^"</formula>
    </cfRule>
  </conditionalFormatting>
  <conditionalFormatting sqref="U34:Y34">
    <cfRule type="cellIs" dxfId="397" priority="191" stopIfTrue="1" operator="equal">
      <formula>"B"</formula>
    </cfRule>
    <cfRule type="cellIs" dxfId="396" priority="192" stopIfTrue="1" operator="equal">
      <formula>"M"</formula>
    </cfRule>
    <cfRule type="cellIs" dxfId="395" priority="193" stopIfTrue="1" operator="between">
      <formula>"NB"</formula>
      <formula>"NB^"</formula>
    </cfRule>
  </conditionalFormatting>
  <conditionalFormatting sqref="U35:Y35">
    <cfRule type="cellIs" dxfId="394" priority="188" stopIfTrue="1" operator="equal">
      <formula>"B"</formula>
    </cfRule>
    <cfRule type="cellIs" dxfId="393" priority="189" stopIfTrue="1" operator="equal">
      <formula>"M"</formula>
    </cfRule>
    <cfRule type="cellIs" dxfId="392" priority="190" stopIfTrue="1" operator="between">
      <formula>"NB"</formula>
      <formula>"NB^"</formula>
    </cfRule>
  </conditionalFormatting>
  <conditionalFormatting sqref="AB6:AB7 AB18:AB27 AB30:AB33 AC25:AG26">
    <cfRule type="cellIs" dxfId="391" priority="168" stopIfTrue="1" operator="equal">
      <formula>"B"</formula>
    </cfRule>
    <cfRule type="cellIs" dxfId="390" priority="169" stopIfTrue="1" operator="equal">
      <formula>"M"</formula>
    </cfRule>
    <cfRule type="cellIs" dxfId="389" priority="170" stopIfTrue="1" operator="between">
      <formula>"NB"</formula>
      <formula>"NB^"</formula>
    </cfRule>
  </conditionalFormatting>
  <conditionalFormatting sqref="AB28:AB29">
    <cfRule type="cellIs" dxfId="388" priority="171" stopIfTrue="1" operator="equal">
      <formula>0</formula>
    </cfRule>
  </conditionalFormatting>
  <conditionalFormatting sqref="AB15:AB17">
    <cfRule type="cellIs" dxfId="387" priority="165" stopIfTrue="1" operator="equal">
      <formula>"B"</formula>
    </cfRule>
    <cfRule type="cellIs" dxfId="386" priority="166" stopIfTrue="1" operator="equal">
      <formula>"M"</formula>
    </cfRule>
    <cfRule type="cellIs" dxfId="385" priority="167" stopIfTrue="1" operator="between">
      <formula>"NB"</formula>
      <formula>"NB^"</formula>
    </cfRule>
  </conditionalFormatting>
  <conditionalFormatting sqref="AB8:AE8">
    <cfRule type="cellIs" dxfId="384" priority="162" stopIfTrue="1" operator="equal">
      <formula>"B"</formula>
    </cfRule>
    <cfRule type="cellIs" dxfId="383" priority="163" stopIfTrue="1" operator="equal">
      <formula>"M"</formula>
    </cfRule>
    <cfRule type="cellIs" dxfId="382" priority="164" stopIfTrue="1" operator="between">
      <formula>"NB"</formula>
      <formula>"NB^"</formula>
    </cfRule>
  </conditionalFormatting>
  <conditionalFormatting sqref="AB34">
    <cfRule type="cellIs" dxfId="381" priority="159" stopIfTrue="1" operator="equal">
      <formula>"B"</formula>
    </cfRule>
    <cfRule type="cellIs" dxfId="380" priority="160" stopIfTrue="1" operator="equal">
      <formula>"M"</formula>
    </cfRule>
    <cfRule type="cellIs" dxfId="379" priority="161" stopIfTrue="1" operator="between">
      <formula>"NB"</formula>
      <formula>"NB^"</formula>
    </cfRule>
  </conditionalFormatting>
  <conditionalFormatting sqref="AB35">
    <cfRule type="cellIs" dxfId="378" priority="156" stopIfTrue="1" operator="equal">
      <formula>"B"</formula>
    </cfRule>
    <cfRule type="cellIs" dxfId="377" priority="157" stopIfTrue="1" operator="equal">
      <formula>"M"</formula>
    </cfRule>
    <cfRule type="cellIs" dxfId="376" priority="158" stopIfTrue="1" operator="between">
      <formula>"NB"</formula>
      <formula>"NB^"</formula>
    </cfRule>
  </conditionalFormatting>
  <conditionalFormatting sqref="AB9:AE14">
    <cfRule type="cellIs" dxfId="375" priority="153" stopIfTrue="1" operator="equal">
      <formula>"B"</formula>
    </cfRule>
    <cfRule type="cellIs" dxfId="374" priority="154" stopIfTrue="1" operator="equal">
      <formula>"M"</formula>
    </cfRule>
    <cfRule type="cellIs" dxfId="373" priority="155" stopIfTrue="1" operator="between">
      <formula>"NB"</formula>
      <formula>"NB^"</formula>
    </cfRule>
  </conditionalFormatting>
  <conditionalFormatting sqref="AF30:AF33 AF27">
    <cfRule type="cellIs" dxfId="372" priority="133" stopIfTrue="1" operator="equal">
      <formula>"B"</formula>
    </cfRule>
    <cfRule type="cellIs" dxfId="371" priority="134" stopIfTrue="1" operator="equal">
      <formula>"M"</formula>
    </cfRule>
    <cfRule type="cellIs" dxfId="370" priority="135" stopIfTrue="1" operator="between">
      <formula>"NB"</formula>
      <formula>"NB^"</formula>
    </cfRule>
  </conditionalFormatting>
  <conditionalFormatting sqref="AF28:AF29">
    <cfRule type="cellIs" dxfId="369" priority="136" stopIfTrue="1" operator="equal">
      <formula>0</formula>
    </cfRule>
  </conditionalFormatting>
  <conditionalFormatting sqref="AF34">
    <cfRule type="cellIs" dxfId="368" priority="124" stopIfTrue="1" operator="equal">
      <formula>"B"</formula>
    </cfRule>
    <cfRule type="cellIs" dxfId="367" priority="125" stopIfTrue="1" operator="equal">
      <formula>"M"</formula>
    </cfRule>
    <cfRule type="cellIs" dxfId="366" priority="126" stopIfTrue="1" operator="between">
      <formula>"NB"</formula>
      <formula>"NB^"</formula>
    </cfRule>
  </conditionalFormatting>
  <conditionalFormatting sqref="AF35">
    <cfRule type="cellIs" dxfId="365" priority="121" stopIfTrue="1" operator="equal">
      <formula>"B"</formula>
    </cfRule>
    <cfRule type="cellIs" dxfId="364" priority="122" stopIfTrue="1" operator="equal">
      <formula>"M"</formula>
    </cfRule>
    <cfRule type="cellIs" dxfId="363" priority="123" stopIfTrue="1" operator="between">
      <formula>"NB"</formula>
      <formula>"NB^"</formula>
    </cfRule>
  </conditionalFormatting>
  <conditionalFormatting sqref="AG30:AG33 AG27">
    <cfRule type="cellIs" dxfId="362" priority="117" stopIfTrue="1" operator="equal">
      <formula>"B"</formula>
    </cfRule>
    <cfRule type="cellIs" dxfId="361" priority="118" stopIfTrue="1" operator="equal">
      <formula>"M"</formula>
    </cfRule>
    <cfRule type="cellIs" dxfId="360" priority="119" stopIfTrue="1" operator="between">
      <formula>"NB"</formula>
      <formula>"NB^"</formula>
    </cfRule>
  </conditionalFormatting>
  <conditionalFormatting sqref="AG28:AG29">
    <cfRule type="cellIs" dxfId="359" priority="120" stopIfTrue="1" operator="equal">
      <formula>0</formula>
    </cfRule>
  </conditionalFormatting>
  <conditionalFormatting sqref="AG34">
    <cfRule type="cellIs" dxfId="358" priority="108" stopIfTrue="1" operator="equal">
      <formula>"B"</formula>
    </cfRule>
    <cfRule type="cellIs" dxfId="357" priority="109" stopIfTrue="1" operator="equal">
      <formula>"M"</formula>
    </cfRule>
    <cfRule type="cellIs" dxfId="356" priority="110" stopIfTrue="1" operator="between">
      <formula>"NB"</formula>
      <formula>"NB^"</formula>
    </cfRule>
  </conditionalFormatting>
  <conditionalFormatting sqref="AG35">
    <cfRule type="cellIs" dxfId="355" priority="105" stopIfTrue="1" operator="equal">
      <formula>"B"</formula>
    </cfRule>
    <cfRule type="cellIs" dxfId="354" priority="106" stopIfTrue="1" operator="equal">
      <formula>"M"</formula>
    </cfRule>
    <cfRule type="cellIs" dxfId="353" priority="107" stopIfTrue="1" operator="between">
      <formula>"NB"</formula>
      <formula>"NB^"</formula>
    </cfRule>
  </conditionalFormatting>
  <conditionalFormatting sqref="D15:D17">
    <cfRule type="cellIs" dxfId="352" priority="97" stopIfTrue="1" operator="equal">
      <formula>"B"</formula>
    </cfRule>
    <cfRule type="cellIs" dxfId="351" priority="98" stopIfTrue="1" operator="equal">
      <formula>"M"</formula>
    </cfRule>
    <cfRule type="cellIs" dxfId="350" priority="99" stopIfTrue="1" operator="between">
      <formula>"NB"</formula>
      <formula>"NB^"</formula>
    </cfRule>
  </conditionalFormatting>
  <conditionalFormatting sqref="D27 D18:D21">
    <cfRule type="cellIs" dxfId="349" priority="94" stopIfTrue="1" operator="equal">
      <formula>"B"</formula>
    </cfRule>
    <cfRule type="cellIs" dxfId="348" priority="95" stopIfTrue="1" operator="equal">
      <formula>"M"</formula>
    </cfRule>
    <cfRule type="cellIs" dxfId="347" priority="96" stopIfTrue="1" operator="between">
      <formula>"NB"</formula>
      <formula>"NB^"</formula>
    </cfRule>
  </conditionalFormatting>
  <conditionalFormatting sqref="D6:D7">
    <cfRule type="cellIs" dxfId="346" priority="91" stopIfTrue="1" operator="equal">
      <formula>"B"</formula>
    </cfRule>
    <cfRule type="cellIs" dxfId="345" priority="92" stopIfTrue="1" operator="equal">
      <formula>"M"</formula>
    </cfRule>
    <cfRule type="cellIs" dxfId="344" priority="93" stopIfTrue="1" operator="between">
      <formula>"NB"</formula>
      <formula>"NB^"</formula>
    </cfRule>
  </conditionalFormatting>
  <conditionalFormatting sqref="D35">
    <cfRule type="cellIs" dxfId="343" priority="82" stopIfTrue="1" operator="equal">
      <formula>"B"</formula>
    </cfRule>
    <cfRule type="cellIs" dxfId="342" priority="83" stopIfTrue="1" operator="equal">
      <formula>"M"</formula>
    </cfRule>
    <cfRule type="cellIs" dxfId="341" priority="84" stopIfTrue="1" operator="between">
      <formula>"NB"</formula>
      <formula>"NB^"</formula>
    </cfRule>
  </conditionalFormatting>
  <conditionalFormatting sqref="D30:D33 D9:D14 E9:F13">
    <cfRule type="cellIs" dxfId="340" priority="101" stopIfTrue="1" operator="equal">
      <formula>"B"</formula>
    </cfRule>
    <cfRule type="cellIs" dxfId="339" priority="102" stopIfTrue="1" operator="equal">
      <formula>"M"</formula>
    </cfRule>
    <cfRule type="cellIs" dxfId="338" priority="103" stopIfTrue="1" operator="between">
      <formula>"NB"</formula>
      <formula>"NB^"</formula>
    </cfRule>
  </conditionalFormatting>
  <conditionalFormatting sqref="D28:F28">
    <cfRule type="cellIs" dxfId="337" priority="104" stopIfTrue="1" operator="equal">
      <formula>0</formula>
    </cfRule>
  </conditionalFormatting>
  <conditionalFormatting sqref="D29:F29">
    <cfRule type="cellIs" dxfId="336" priority="100" stopIfTrue="1" operator="equal">
      <formula>0</formula>
    </cfRule>
  </conditionalFormatting>
  <conditionalFormatting sqref="D22:D26">
    <cfRule type="cellIs" dxfId="335" priority="88" stopIfTrue="1" operator="equal">
      <formula>"B"</formula>
    </cfRule>
    <cfRule type="cellIs" dxfId="334" priority="89" stopIfTrue="1" operator="equal">
      <formula>"M"</formula>
    </cfRule>
    <cfRule type="cellIs" dxfId="333" priority="90" stopIfTrue="1" operator="between">
      <formula>"NB"</formula>
      <formula>"NB^"</formula>
    </cfRule>
  </conditionalFormatting>
  <conditionalFormatting sqref="D34">
    <cfRule type="cellIs" dxfId="332" priority="85" stopIfTrue="1" operator="equal">
      <formula>"B"</formula>
    </cfRule>
    <cfRule type="cellIs" dxfId="331" priority="86" stopIfTrue="1" operator="equal">
      <formula>"M"</formula>
    </cfRule>
    <cfRule type="cellIs" dxfId="330" priority="87" stopIfTrue="1" operator="between">
      <formula>"NB"</formula>
      <formula>"NB^"</formula>
    </cfRule>
  </conditionalFormatting>
  <conditionalFormatting sqref="D8:F8">
    <cfRule type="cellIs" dxfId="329" priority="78" operator="equal">
      <formula>"B"</formula>
    </cfRule>
    <cfRule type="cellIs" dxfId="328" priority="79" operator="equal">
      <formula>0</formula>
    </cfRule>
    <cfRule type="cellIs" dxfId="327" priority="80" operator="equal">
      <formula>"NB"</formula>
    </cfRule>
    <cfRule type="cellIs" dxfId="326" priority="81" operator="equal">
      <formula>"M"</formula>
    </cfRule>
  </conditionalFormatting>
  <conditionalFormatting sqref="K15:K17">
    <cfRule type="cellIs" dxfId="325" priority="75" stopIfTrue="1" operator="equal">
      <formula>"B"</formula>
    </cfRule>
    <cfRule type="cellIs" dxfId="324" priority="76" stopIfTrue="1" operator="equal">
      <formula>"M"</formula>
    </cfRule>
    <cfRule type="cellIs" dxfId="323" priority="77" stopIfTrue="1" operator="between">
      <formula>"NB"</formula>
      <formula>"NB^"</formula>
    </cfRule>
  </conditionalFormatting>
  <conditionalFormatting sqref="K23:K24">
    <cfRule type="cellIs" dxfId="322" priority="72" stopIfTrue="1" operator="equal">
      <formula>"B"</formula>
    </cfRule>
    <cfRule type="cellIs" dxfId="321" priority="73" stopIfTrue="1" operator="equal">
      <formula>"M"</formula>
    </cfRule>
    <cfRule type="cellIs" dxfId="320" priority="74" stopIfTrue="1" operator="between">
      <formula>"NB"</formula>
      <formula>"NB^"</formula>
    </cfRule>
  </conditionalFormatting>
  <conditionalFormatting sqref="K22 K6:K7 K27">
    <cfRule type="cellIs" dxfId="319" priority="68" stopIfTrue="1" operator="equal">
      <formula>"B"</formula>
    </cfRule>
    <cfRule type="cellIs" dxfId="318" priority="69" stopIfTrue="1" operator="equal">
      <formula>"M"</formula>
    </cfRule>
    <cfRule type="cellIs" dxfId="317" priority="70" stopIfTrue="1" operator="between">
      <formula>"NB"</formula>
      <formula>"NB^"</formula>
    </cfRule>
  </conditionalFormatting>
  <conditionalFormatting sqref="K28:K29">
    <cfRule type="cellIs" dxfId="316" priority="71" stopIfTrue="1" operator="equal">
      <formula>0</formula>
    </cfRule>
  </conditionalFormatting>
  <conditionalFormatting sqref="K8:N8">
    <cfRule type="cellIs" dxfId="315" priority="65" stopIfTrue="1" operator="equal">
      <formula>"B"</formula>
    </cfRule>
    <cfRule type="cellIs" dxfId="314" priority="66" stopIfTrue="1" operator="equal">
      <formula>"M"</formula>
    </cfRule>
    <cfRule type="cellIs" dxfId="313" priority="67" stopIfTrue="1" operator="between">
      <formula>"NB"</formula>
      <formula>"NB^"</formula>
    </cfRule>
  </conditionalFormatting>
  <conditionalFormatting sqref="K18:K21">
    <cfRule type="cellIs" dxfId="312" priority="59" stopIfTrue="1" operator="equal">
      <formula>"B"</formula>
    </cfRule>
    <cfRule type="cellIs" dxfId="311" priority="60" stopIfTrue="1" operator="equal">
      <formula>"M"</formula>
    </cfRule>
    <cfRule type="cellIs" dxfId="310" priority="61" stopIfTrue="1" operator="between">
      <formula>"NB"</formula>
      <formula>"NB^"</formula>
    </cfRule>
  </conditionalFormatting>
  <conditionalFormatting sqref="K35">
    <cfRule type="cellIs" dxfId="309" priority="53" stopIfTrue="1" operator="equal">
      <formula>"B"</formula>
    </cfRule>
    <cfRule type="cellIs" dxfId="308" priority="54" stopIfTrue="1" operator="equal">
      <formula>"M"</formula>
    </cfRule>
    <cfRule type="cellIs" dxfId="307" priority="55" stopIfTrue="1" operator="between">
      <formula>"NB"</formula>
      <formula>"NB^"</formula>
    </cfRule>
  </conditionalFormatting>
  <conditionalFormatting sqref="K30:K33">
    <cfRule type="cellIs" dxfId="306" priority="62" stopIfTrue="1" operator="equal">
      <formula>"B"</formula>
    </cfRule>
    <cfRule type="cellIs" dxfId="305" priority="63" stopIfTrue="1" operator="equal">
      <formula>"M"</formula>
    </cfRule>
    <cfRule type="cellIs" dxfId="304" priority="64" stopIfTrue="1" operator="between">
      <formula>"NB"</formula>
      <formula>"NB^"</formula>
    </cfRule>
  </conditionalFormatting>
  <conditionalFormatting sqref="K34">
    <cfRule type="cellIs" dxfId="303" priority="56" stopIfTrue="1" operator="equal">
      <formula>"B"</formula>
    </cfRule>
    <cfRule type="cellIs" dxfId="302" priority="57" stopIfTrue="1" operator="equal">
      <formula>"M"</formula>
    </cfRule>
    <cfRule type="cellIs" dxfId="301" priority="58" stopIfTrue="1" operator="between">
      <formula>"NB"</formula>
      <formula>"NB^"</formula>
    </cfRule>
  </conditionalFormatting>
  <conditionalFormatting sqref="K9:K14">
    <cfRule type="cellIs" dxfId="300" priority="50" stopIfTrue="1" operator="equal">
      <formula>"B"</formula>
    </cfRule>
    <cfRule type="cellIs" dxfId="299" priority="51" stopIfTrue="1" operator="equal">
      <formula>"M"</formula>
    </cfRule>
    <cfRule type="cellIs" dxfId="298" priority="52" stopIfTrue="1" operator="between">
      <formula>"NB"</formula>
      <formula>"NB^"</formula>
    </cfRule>
  </conditionalFormatting>
  <conditionalFormatting sqref="K25:K26">
    <cfRule type="cellIs" dxfId="297" priority="47" stopIfTrue="1" operator="equal">
      <formula>"B"</formula>
    </cfRule>
    <cfRule type="cellIs" dxfId="296" priority="48" stopIfTrue="1" operator="equal">
      <formula>"M"</formula>
    </cfRule>
    <cfRule type="cellIs" dxfId="295" priority="49" stopIfTrue="1" operator="between">
      <formula>"NB"</formula>
      <formula>"NB^"</formula>
    </cfRule>
  </conditionalFormatting>
  <conditionalFormatting sqref="AA6:AA7 AA30:AA33 AA27 AA18:AA22">
    <cfRule type="cellIs" dxfId="294" priority="43" stopIfTrue="1" operator="equal">
      <formula>"B"</formula>
    </cfRule>
    <cfRule type="cellIs" dxfId="293" priority="44" stopIfTrue="1" operator="equal">
      <formula>"M"</formula>
    </cfRule>
    <cfRule type="cellIs" dxfId="292" priority="45" stopIfTrue="1" operator="between">
      <formula>"NB"</formula>
      <formula>"NB^"</formula>
    </cfRule>
  </conditionalFormatting>
  <conditionalFormatting sqref="AA28:AA29">
    <cfRule type="cellIs" dxfId="291" priority="46" stopIfTrue="1" operator="equal">
      <formula>0</formula>
    </cfRule>
  </conditionalFormatting>
  <conditionalFormatting sqref="AA15:AA17">
    <cfRule type="cellIs" dxfId="290" priority="40" stopIfTrue="1" operator="equal">
      <formula>"B"</formula>
    </cfRule>
    <cfRule type="cellIs" dxfId="289" priority="41" stopIfTrue="1" operator="equal">
      <formula>"M"</formula>
    </cfRule>
    <cfRule type="cellIs" dxfId="288" priority="42" stopIfTrue="1" operator="between">
      <formula>"NB"</formula>
      <formula>"NB^"</formula>
    </cfRule>
  </conditionalFormatting>
  <conditionalFormatting sqref="AA8">
    <cfRule type="cellIs" dxfId="287" priority="37" stopIfTrue="1" operator="equal">
      <formula>"B"</formula>
    </cfRule>
    <cfRule type="cellIs" dxfId="286" priority="38" stopIfTrue="1" operator="equal">
      <formula>"M"</formula>
    </cfRule>
    <cfRule type="cellIs" dxfId="285" priority="39" stopIfTrue="1" operator="between">
      <formula>"NB"</formula>
      <formula>"NB^"</formula>
    </cfRule>
  </conditionalFormatting>
  <conditionalFormatting sqref="AA34">
    <cfRule type="cellIs" dxfId="284" priority="34" stopIfTrue="1" operator="equal">
      <formula>"B"</formula>
    </cfRule>
    <cfRule type="cellIs" dxfId="283" priority="35" stopIfTrue="1" operator="equal">
      <formula>"M"</formula>
    </cfRule>
    <cfRule type="cellIs" dxfId="282" priority="36" stopIfTrue="1" operator="between">
      <formula>"NB"</formula>
      <formula>"NB^"</formula>
    </cfRule>
  </conditionalFormatting>
  <conditionalFormatting sqref="AA35">
    <cfRule type="cellIs" dxfId="281" priority="31" stopIfTrue="1" operator="equal">
      <formula>"B"</formula>
    </cfRule>
    <cfRule type="cellIs" dxfId="280" priority="32" stopIfTrue="1" operator="equal">
      <formula>"M"</formula>
    </cfRule>
    <cfRule type="cellIs" dxfId="279" priority="33" stopIfTrue="1" operator="between">
      <formula>"NB"</formula>
      <formula>"NB^"</formula>
    </cfRule>
  </conditionalFormatting>
  <conditionalFormatting sqref="AA23:AA26 AA9:AA14">
    <cfRule type="cellIs" dxfId="278" priority="28" stopIfTrue="1" operator="equal">
      <formula>"B"</formula>
    </cfRule>
    <cfRule type="cellIs" dxfId="277" priority="29" stopIfTrue="1" operator="equal">
      <formula>"M"</formula>
    </cfRule>
    <cfRule type="cellIs" dxfId="276" priority="30" stopIfTrue="1" operator="between">
      <formula>"NB"</formula>
      <formula>"NB^"</formula>
    </cfRule>
  </conditionalFormatting>
  <conditionalFormatting sqref="AF18:AF22 AF6:AF7">
    <cfRule type="cellIs" dxfId="275" priority="25" stopIfTrue="1" operator="equal">
      <formula>"B"</formula>
    </cfRule>
    <cfRule type="cellIs" dxfId="274" priority="26" stopIfTrue="1" operator="equal">
      <formula>"M"</formula>
    </cfRule>
    <cfRule type="cellIs" dxfId="273" priority="27" stopIfTrue="1" operator="between">
      <formula>"NB"</formula>
      <formula>"NB^"</formula>
    </cfRule>
  </conditionalFormatting>
  <conditionalFormatting sqref="AF15:AF17">
    <cfRule type="cellIs" dxfId="272" priority="22" stopIfTrue="1" operator="equal">
      <formula>"B"</formula>
    </cfRule>
    <cfRule type="cellIs" dxfId="271" priority="23" stopIfTrue="1" operator="equal">
      <formula>"M"</formula>
    </cfRule>
    <cfRule type="cellIs" dxfId="270" priority="24" stopIfTrue="1" operator="between">
      <formula>"NB"</formula>
      <formula>"NB^"</formula>
    </cfRule>
  </conditionalFormatting>
  <conditionalFormatting sqref="AF8">
    <cfRule type="cellIs" dxfId="269" priority="19" stopIfTrue="1" operator="equal">
      <formula>"B"</formula>
    </cfRule>
    <cfRule type="cellIs" dxfId="268" priority="20" stopIfTrue="1" operator="equal">
      <formula>"M"</formula>
    </cfRule>
    <cfRule type="cellIs" dxfId="267" priority="21" stopIfTrue="1" operator="between">
      <formula>"NB"</formula>
      <formula>"NB^"</formula>
    </cfRule>
  </conditionalFormatting>
  <conditionalFormatting sqref="AF9:AF14">
    <cfRule type="cellIs" dxfId="266" priority="16" stopIfTrue="1" operator="equal">
      <formula>"B"</formula>
    </cfRule>
    <cfRule type="cellIs" dxfId="265" priority="17" stopIfTrue="1" operator="equal">
      <formula>"M"</formula>
    </cfRule>
    <cfRule type="cellIs" dxfId="264" priority="18" stopIfTrue="1" operator="between">
      <formula>"NB"</formula>
      <formula>"NB^"</formula>
    </cfRule>
  </conditionalFormatting>
  <conditionalFormatting sqref="AG18:AG22 AG6:AG7">
    <cfRule type="cellIs" dxfId="263" priority="13" stopIfTrue="1" operator="equal">
      <formula>"B"</formula>
    </cfRule>
    <cfRule type="cellIs" dxfId="262" priority="14" stopIfTrue="1" operator="equal">
      <formula>"M"</formula>
    </cfRule>
    <cfRule type="cellIs" dxfId="261" priority="15" stopIfTrue="1" operator="between">
      <formula>"NB"</formula>
      <formula>"NB^"</formula>
    </cfRule>
  </conditionalFormatting>
  <conditionalFormatting sqref="AG15:AG17">
    <cfRule type="cellIs" dxfId="260" priority="10" stopIfTrue="1" operator="equal">
      <formula>"B"</formula>
    </cfRule>
    <cfRule type="cellIs" dxfId="259" priority="11" stopIfTrue="1" operator="equal">
      <formula>"M"</formula>
    </cfRule>
    <cfRule type="cellIs" dxfId="258" priority="12" stopIfTrue="1" operator="between">
      <formula>"NB"</formula>
      <formula>"NB^"</formula>
    </cfRule>
  </conditionalFormatting>
  <conditionalFormatting sqref="AG8">
    <cfRule type="cellIs" dxfId="257" priority="7" stopIfTrue="1" operator="equal">
      <formula>"B"</formula>
    </cfRule>
    <cfRule type="cellIs" dxfId="256" priority="8" stopIfTrue="1" operator="equal">
      <formula>"M"</formula>
    </cfRule>
    <cfRule type="cellIs" dxfId="255" priority="9" stopIfTrue="1" operator="between">
      <formula>"NB"</formula>
      <formula>"NB^"</formula>
    </cfRule>
  </conditionalFormatting>
  <conditionalFormatting sqref="AG9:AG14">
    <cfRule type="cellIs" dxfId="254" priority="1" stopIfTrue="1" operator="equal">
      <formula>"B"</formula>
    </cfRule>
    <cfRule type="cellIs" dxfId="253" priority="2" stopIfTrue="1" operator="equal">
      <formula>"M"</formula>
    </cfRule>
    <cfRule type="cellIs" dxfId="252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112</v>
      </c>
    </row>
    <row r="4" spans="1:44" s="5" customFormat="1" ht="15.75" customHeight="1" thickBot="1" x14ac:dyDescent="0.3">
      <c r="C4" s="6"/>
      <c r="H4" s="6" t="s">
        <v>3</v>
      </c>
      <c r="I4" s="5" t="s">
        <v>3</v>
      </c>
      <c r="O4" s="6" t="s">
        <v>3</v>
      </c>
      <c r="P4" s="5" t="s">
        <v>3</v>
      </c>
      <c r="V4" s="5" t="s">
        <v>3</v>
      </c>
      <c r="W4" s="5" t="s">
        <v>3</v>
      </c>
      <c r="AB4" s="5" t="s">
        <v>4</v>
      </c>
      <c r="AC4" s="5" t="s">
        <v>3</v>
      </c>
      <c r="AD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41" t="s">
        <v>7</v>
      </c>
      <c r="B6" s="142"/>
      <c r="C6" s="143"/>
      <c r="D6" s="72" t="s">
        <v>9</v>
      </c>
      <c r="E6" s="72" t="s">
        <v>9</v>
      </c>
      <c r="F6" s="72" t="s">
        <v>9</v>
      </c>
      <c r="G6" s="72" t="s">
        <v>9</v>
      </c>
      <c r="H6" s="72" t="s">
        <v>9</v>
      </c>
      <c r="I6" s="72" t="s">
        <v>9</v>
      </c>
      <c r="J6" s="72" t="s">
        <v>9</v>
      </c>
      <c r="K6" s="72" t="s">
        <v>9</v>
      </c>
      <c r="L6" s="72" t="s">
        <v>9</v>
      </c>
      <c r="M6" s="72" t="s">
        <v>8</v>
      </c>
      <c r="N6" s="72" t="s">
        <v>8</v>
      </c>
      <c r="O6" s="72" t="s">
        <v>8</v>
      </c>
      <c r="P6" s="72" t="s">
        <v>8</v>
      </c>
      <c r="Q6" s="72" t="s">
        <v>8</v>
      </c>
      <c r="R6" s="72" t="s">
        <v>8</v>
      </c>
      <c r="S6" s="72" t="s">
        <v>8</v>
      </c>
      <c r="T6" s="72" t="s">
        <v>9</v>
      </c>
      <c r="U6" s="72" t="s">
        <v>9</v>
      </c>
      <c r="V6" s="72" t="s">
        <v>9</v>
      </c>
      <c r="W6" s="72" t="s">
        <v>9</v>
      </c>
      <c r="X6" s="72" t="s">
        <v>9</v>
      </c>
      <c r="Y6" s="72" t="s">
        <v>8</v>
      </c>
      <c r="Z6" s="72" t="s">
        <v>9</v>
      </c>
      <c r="AA6" s="72" t="s">
        <v>9</v>
      </c>
      <c r="AB6" s="72" t="s">
        <v>8</v>
      </c>
      <c r="AC6" s="72" t="s">
        <v>8</v>
      </c>
      <c r="AD6" s="72" t="s">
        <v>8</v>
      </c>
      <c r="AE6" s="72" t="s">
        <v>8</v>
      </c>
      <c r="AF6" s="72" t="s">
        <v>8</v>
      </c>
      <c r="AG6" s="72" t="s">
        <v>8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38" t="s">
        <v>10</v>
      </c>
      <c r="B7" s="139"/>
      <c r="C7" s="140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44" t="s">
        <v>93</v>
      </c>
      <c r="B8" s="145"/>
      <c r="C8" s="146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0.35483870967741937</v>
      </c>
    </row>
    <row r="9" spans="1:44" ht="15.75" customHeight="1" x14ac:dyDescent="0.25">
      <c r="A9" s="147" t="s">
        <v>13</v>
      </c>
      <c r="B9" s="148"/>
      <c r="C9" s="149"/>
      <c r="D9" s="79" t="s">
        <v>12</v>
      </c>
      <c r="E9" s="79" t="s">
        <v>11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12</v>
      </c>
      <c r="K9" s="79" t="s">
        <v>12</v>
      </c>
      <c r="L9" s="79" t="s">
        <v>12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12</v>
      </c>
      <c r="W9" s="79" t="s">
        <v>12</v>
      </c>
      <c r="X9" s="79" t="s">
        <v>12</v>
      </c>
      <c r="Y9" s="79" t="s">
        <v>12</v>
      </c>
      <c r="Z9" s="79" t="s">
        <v>11</v>
      </c>
      <c r="AA9" s="79" t="s">
        <v>12</v>
      </c>
      <c r="AB9" s="79" t="s">
        <v>12</v>
      </c>
      <c r="AC9" s="79" t="s">
        <v>12</v>
      </c>
      <c r="AD9" s="79" t="s">
        <v>11</v>
      </c>
      <c r="AE9" s="79" t="s">
        <v>12</v>
      </c>
      <c r="AF9" s="79" t="s">
        <v>11</v>
      </c>
      <c r="AG9" s="79" t="s">
        <v>11</v>
      </c>
      <c r="AH9" s="79" t="s">
        <v>11</v>
      </c>
      <c r="AI9" s="13">
        <f t="shared" si="0"/>
        <v>0.4838709677419355</v>
      </c>
    </row>
    <row r="10" spans="1:44" ht="15.75" customHeight="1" x14ac:dyDescent="0.25">
      <c r="A10" s="150" t="s">
        <v>14</v>
      </c>
      <c r="B10" s="151"/>
      <c r="C10" s="152"/>
      <c r="D10" s="80" t="s">
        <v>12</v>
      </c>
      <c r="E10" s="80" t="s">
        <v>11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12</v>
      </c>
      <c r="K10" s="80" t="s">
        <v>12</v>
      </c>
      <c r="L10" s="80" t="s">
        <v>12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12</v>
      </c>
      <c r="W10" s="80" t="s">
        <v>12</v>
      </c>
      <c r="X10" s="80" t="s">
        <v>12</v>
      </c>
      <c r="Y10" s="80" t="s">
        <v>12</v>
      </c>
      <c r="Z10" s="80" t="s">
        <v>11</v>
      </c>
      <c r="AA10" s="80" t="s">
        <v>12</v>
      </c>
      <c r="AB10" s="80" t="s">
        <v>12</v>
      </c>
      <c r="AC10" s="80" t="s">
        <v>12</v>
      </c>
      <c r="AD10" s="80" t="s">
        <v>11</v>
      </c>
      <c r="AE10" s="80" t="s">
        <v>12</v>
      </c>
      <c r="AF10" s="80" t="s">
        <v>11</v>
      </c>
      <c r="AG10" s="80" t="s">
        <v>11</v>
      </c>
      <c r="AH10" s="80" t="s">
        <v>11</v>
      </c>
      <c r="AI10" s="21">
        <f t="shared" si="0"/>
        <v>0.4838709677419355</v>
      </c>
    </row>
    <row r="11" spans="1:44" ht="15.75" customHeight="1" x14ac:dyDescent="0.25">
      <c r="A11" s="150" t="s">
        <v>15</v>
      </c>
      <c r="B11" s="151"/>
      <c r="C11" s="152"/>
      <c r="D11" s="80" t="s">
        <v>12</v>
      </c>
      <c r="E11" s="80" t="s">
        <v>11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12</v>
      </c>
      <c r="K11" s="80" t="s">
        <v>12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12</v>
      </c>
      <c r="W11" s="80" t="s">
        <v>12</v>
      </c>
      <c r="X11" s="80" t="s">
        <v>12</v>
      </c>
      <c r="Y11" s="80" t="s">
        <v>12</v>
      </c>
      <c r="Z11" s="80" t="s">
        <v>12</v>
      </c>
      <c r="AA11" s="80" t="s">
        <v>12</v>
      </c>
      <c r="AB11" s="80" t="s">
        <v>12</v>
      </c>
      <c r="AC11" s="80" t="s">
        <v>12</v>
      </c>
      <c r="AD11" s="80" t="s">
        <v>11</v>
      </c>
      <c r="AE11" s="80" t="s">
        <v>12</v>
      </c>
      <c r="AF11" s="80" t="s">
        <v>11</v>
      </c>
      <c r="AG11" s="80" t="s">
        <v>11</v>
      </c>
      <c r="AH11" s="80" t="s">
        <v>11</v>
      </c>
      <c r="AI11" s="21">
        <f t="shared" si="0"/>
        <v>0.4838709677419355</v>
      </c>
    </row>
    <row r="12" spans="1:44" ht="15.75" customHeight="1" x14ac:dyDescent="0.25">
      <c r="A12" s="150" t="s">
        <v>16</v>
      </c>
      <c r="B12" s="151"/>
      <c r="C12" s="152"/>
      <c r="D12" s="80" t="s">
        <v>12</v>
      </c>
      <c r="E12" s="80" t="s">
        <v>11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12</v>
      </c>
      <c r="K12" s="80" t="s">
        <v>12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12</v>
      </c>
      <c r="W12" s="80" t="s">
        <v>12</v>
      </c>
      <c r="X12" s="80" t="s">
        <v>12</v>
      </c>
      <c r="Y12" s="80" t="s">
        <v>12</v>
      </c>
      <c r="Z12" s="80" t="s">
        <v>12</v>
      </c>
      <c r="AA12" s="80" t="s">
        <v>12</v>
      </c>
      <c r="AB12" s="80" t="s">
        <v>12</v>
      </c>
      <c r="AC12" s="80" t="s">
        <v>12</v>
      </c>
      <c r="AD12" s="80" t="s">
        <v>11</v>
      </c>
      <c r="AE12" s="80" t="s">
        <v>12</v>
      </c>
      <c r="AF12" s="80" t="s">
        <v>11</v>
      </c>
      <c r="AG12" s="80" t="s">
        <v>11</v>
      </c>
      <c r="AH12" s="80" t="s">
        <v>11</v>
      </c>
      <c r="AI12" s="21">
        <f t="shared" si="0"/>
        <v>0.4838709677419355</v>
      </c>
    </row>
    <row r="13" spans="1:44" ht="15.75" customHeight="1" x14ac:dyDescent="0.25">
      <c r="A13" s="150" t="s">
        <v>17</v>
      </c>
      <c r="B13" s="151"/>
      <c r="C13" s="152"/>
      <c r="D13" s="80" t="s">
        <v>12</v>
      </c>
      <c r="E13" s="80" t="s">
        <v>11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12</v>
      </c>
      <c r="K13" s="80" t="s">
        <v>12</v>
      </c>
      <c r="L13" s="80" t="s">
        <v>12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12</v>
      </c>
      <c r="W13" s="80" t="s">
        <v>12</v>
      </c>
      <c r="X13" s="80" t="s">
        <v>12</v>
      </c>
      <c r="Y13" s="80" t="s">
        <v>12</v>
      </c>
      <c r="Z13" s="80" t="s">
        <v>12</v>
      </c>
      <c r="AA13" s="80" t="s">
        <v>12</v>
      </c>
      <c r="AB13" s="80" t="s">
        <v>12</v>
      </c>
      <c r="AC13" s="80" t="s">
        <v>12</v>
      </c>
      <c r="AD13" s="80" t="s">
        <v>11</v>
      </c>
      <c r="AE13" s="80" t="s">
        <v>12</v>
      </c>
      <c r="AF13" s="80" t="s">
        <v>11</v>
      </c>
      <c r="AG13" s="80" t="s">
        <v>11</v>
      </c>
      <c r="AH13" s="80" t="s">
        <v>11</v>
      </c>
      <c r="AI13" s="21">
        <f t="shared" si="0"/>
        <v>0.45161290322580644</v>
      </c>
    </row>
    <row r="14" spans="1:44" ht="15.75" customHeight="1" x14ac:dyDescent="0.25">
      <c r="A14" s="138" t="s">
        <v>18</v>
      </c>
      <c r="B14" s="139"/>
      <c r="C14" s="140"/>
      <c r="D14" s="73" t="s">
        <v>12</v>
      </c>
      <c r="E14" s="73" t="s">
        <v>11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12</v>
      </c>
      <c r="K14" s="73" t="s">
        <v>12</v>
      </c>
      <c r="L14" s="73" t="s">
        <v>12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12</v>
      </c>
      <c r="W14" s="73" t="s">
        <v>12</v>
      </c>
      <c r="X14" s="73" t="s">
        <v>12</v>
      </c>
      <c r="Y14" s="73" t="s">
        <v>12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11</v>
      </c>
      <c r="AE14" s="73" t="s">
        <v>12</v>
      </c>
      <c r="AF14" s="73" t="s">
        <v>11</v>
      </c>
      <c r="AG14" s="73" t="s">
        <v>11</v>
      </c>
      <c r="AH14" s="73" t="s">
        <v>11</v>
      </c>
      <c r="AI14" s="17">
        <f t="shared" si="0"/>
        <v>0.45161290322580644</v>
      </c>
    </row>
    <row r="15" spans="1:44" ht="15.75" customHeight="1" x14ac:dyDescent="0.25">
      <c r="A15" s="147" t="s">
        <v>19</v>
      </c>
      <c r="B15" s="148"/>
      <c r="C15" s="149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12</v>
      </c>
      <c r="W15" s="20" t="s">
        <v>12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0.93548387096774188</v>
      </c>
    </row>
    <row r="16" spans="1:44" ht="15.75" customHeight="1" x14ac:dyDescent="0.25">
      <c r="A16" s="150" t="s">
        <v>20</v>
      </c>
      <c r="B16" s="151"/>
      <c r="C16" s="152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12</v>
      </c>
      <c r="W16" s="16" t="s">
        <v>12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0.93548387096774188</v>
      </c>
    </row>
    <row r="17" spans="1:35" ht="15.75" customHeight="1" x14ac:dyDescent="0.25">
      <c r="A17" s="138" t="s">
        <v>92</v>
      </c>
      <c r="B17" s="139"/>
      <c r="C17" s="14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12</v>
      </c>
      <c r="W17" s="16" t="s">
        <v>12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0.93548387096774188</v>
      </c>
    </row>
    <row r="18" spans="1:35" ht="15.75" customHeight="1" x14ac:dyDescent="0.25">
      <c r="A18" s="147" t="s">
        <v>21</v>
      </c>
      <c r="B18" s="148"/>
      <c r="C18" s="149"/>
      <c r="D18" s="22" t="s">
        <v>11</v>
      </c>
      <c r="E18" s="22" t="s">
        <v>11</v>
      </c>
      <c r="F18" s="22" t="s">
        <v>11</v>
      </c>
      <c r="G18" s="22" t="s">
        <v>11</v>
      </c>
      <c r="H18" s="22" t="s">
        <v>11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22</v>
      </c>
      <c r="W18" s="22" t="s">
        <v>22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0" t="s">
        <v>11</v>
      </c>
      <c r="AF18" s="79" t="s">
        <v>11</v>
      </c>
      <c r="AG18" s="79" t="s">
        <v>11</v>
      </c>
      <c r="AH18" s="79" t="s">
        <v>11</v>
      </c>
      <c r="AI18" s="13">
        <f t="shared" si="0"/>
        <v>1</v>
      </c>
    </row>
    <row r="19" spans="1:35" ht="15.75" customHeight="1" x14ac:dyDescent="0.25">
      <c r="A19" s="150" t="s">
        <v>23</v>
      </c>
      <c r="B19" s="151"/>
      <c r="C19" s="152"/>
      <c r="D19" s="23" t="s">
        <v>11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22</v>
      </c>
      <c r="W19" s="23" t="s">
        <v>22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16" t="s">
        <v>11</v>
      </c>
      <c r="AF19" s="16" t="s">
        <v>11</v>
      </c>
      <c r="AG19" s="16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50" t="s">
        <v>24</v>
      </c>
      <c r="B20" s="151"/>
      <c r="C20" s="152"/>
      <c r="D20" s="23" t="s">
        <v>11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22</v>
      </c>
      <c r="W20" s="23" t="s">
        <v>22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16" t="s">
        <v>11</v>
      </c>
      <c r="AF20" s="16" t="s">
        <v>11</v>
      </c>
      <c r="AG20" s="16" t="s">
        <v>11</v>
      </c>
      <c r="AH20" s="16" t="s">
        <v>11</v>
      </c>
      <c r="AI20" s="21">
        <f t="shared" si="0"/>
        <v>1</v>
      </c>
    </row>
    <row r="21" spans="1:35" ht="15.75" customHeight="1" x14ac:dyDescent="0.25">
      <c r="A21" s="138" t="s">
        <v>25</v>
      </c>
      <c r="B21" s="139"/>
      <c r="C21" s="140"/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22</v>
      </c>
      <c r="W21" s="14" t="s">
        <v>22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5" t="s">
        <v>11</v>
      </c>
      <c r="AF21" s="73" t="s">
        <v>11</v>
      </c>
      <c r="AG21" s="73" t="s">
        <v>11</v>
      </c>
      <c r="AH21" s="73" t="s">
        <v>11</v>
      </c>
      <c r="AI21" s="17">
        <f t="shared" si="0"/>
        <v>1</v>
      </c>
    </row>
    <row r="22" spans="1:35" ht="15.75" customHeight="1" x14ac:dyDescent="0.25">
      <c r="A22" s="144" t="s">
        <v>26</v>
      </c>
      <c r="B22" s="145"/>
      <c r="C22" s="146"/>
      <c r="D22" s="24" t="s">
        <v>11</v>
      </c>
      <c r="E22" s="24" t="s">
        <v>11</v>
      </c>
      <c r="F22" s="24" t="s">
        <v>11</v>
      </c>
      <c r="G22" s="24" t="s">
        <v>12</v>
      </c>
      <c r="H22" s="24" t="s">
        <v>12</v>
      </c>
      <c r="I22" s="24" t="s">
        <v>12</v>
      </c>
      <c r="J22" s="24" t="s">
        <v>12</v>
      </c>
      <c r="K22" s="24" t="s">
        <v>12</v>
      </c>
      <c r="L22" s="24" t="s">
        <v>12</v>
      </c>
      <c r="M22" s="24" t="s">
        <v>11</v>
      </c>
      <c r="N22" s="24" t="s">
        <v>11</v>
      </c>
      <c r="O22" s="24" t="s">
        <v>11</v>
      </c>
      <c r="P22" s="81" t="s">
        <v>11</v>
      </c>
      <c r="Q22" s="81" t="s">
        <v>11</v>
      </c>
      <c r="R22" s="81" t="s">
        <v>11</v>
      </c>
      <c r="S22" s="81" t="s">
        <v>11</v>
      </c>
      <c r="T22" s="24" t="s">
        <v>11</v>
      </c>
      <c r="U22" s="24" t="s">
        <v>11</v>
      </c>
      <c r="V22" s="24" t="s">
        <v>11</v>
      </c>
      <c r="W22" s="24" t="s">
        <v>11</v>
      </c>
      <c r="X22" s="24" t="s">
        <v>11</v>
      </c>
      <c r="Y22" s="24" t="s">
        <v>12</v>
      </c>
      <c r="Z22" s="24" t="s">
        <v>11</v>
      </c>
      <c r="AA22" s="24" t="s">
        <v>11</v>
      </c>
      <c r="AB22" s="24" t="s">
        <v>12</v>
      </c>
      <c r="AC22" s="81" t="s">
        <v>12</v>
      </c>
      <c r="AD22" s="81" t="s">
        <v>11</v>
      </c>
      <c r="AE22" s="81" t="s">
        <v>11</v>
      </c>
      <c r="AF22" s="81" t="s">
        <v>11</v>
      </c>
      <c r="AG22" s="81" t="s">
        <v>11</v>
      </c>
      <c r="AH22" s="81" t="s">
        <v>11</v>
      </c>
      <c r="AI22" s="19">
        <f t="shared" si="0"/>
        <v>0.70967741935483875</v>
      </c>
    </row>
    <row r="23" spans="1:35" ht="15.75" customHeight="1" x14ac:dyDescent="0.25">
      <c r="A23" s="147" t="s">
        <v>27</v>
      </c>
      <c r="B23" s="148"/>
      <c r="C23" s="149"/>
      <c r="D23" s="22" t="s">
        <v>12</v>
      </c>
      <c r="E23" s="22" t="s">
        <v>12</v>
      </c>
      <c r="F23" s="22" t="s">
        <v>12</v>
      </c>
      <c r="G23" s="22" t="s">
        <v>12</v>
      </c>
      <c r="H23" s="22" t="s">
        <v>12</v>
      </c>
      <c r="I23" s="22" t="s">
        <v>12</v>
      </c>
      <c r="J23" s="22" t="s">
        <v>12</v>
      </c>
      <c r="K23" s="22" t="s">
        <v>12</v>
      </c>
      <c r="L23" s="22" t="s">
        <v>12</v>
      </c>
      <c r="M23" s="22" t="s">
        <v>12</v>
      </c>
      <c r="N23" s="22" t="s">
        <v>11</v>
      </c>
      <c r="O23" s="22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20" t="s">
        <v>11</v>
      </c>
      <c r="V23" s="22" t="s">
        <v>11</v>
      </c>
      <c r="W23" s="22" t="s">
        <v>11</v>
      </c>
      <c r="X23" s="22" t="s">
        <v>11</v>
      </c>
      <c r="Y23" s="22" t="s">
        <v>11</v>
      </c>
      <c r="Z23" s="22" t="s">
        <v>12</v>
      </c>
      <c r="AA23" s="22" t="s">
        <v>12</v>
      </c>
      <c r="AB23" s="22" t="s">
        <v>12</v>
      </c>
      <c r="AC23" s="22" t="s">
        <v>12</v>
      </c>
      <c r="AD23" s="22" t="s">
        <v>12</v>
      </c>
      <c r="AE23" s="22" t="s">
        <v>11</v>
      </c>
      <c r="AF23" s="20" t="s">
        <v>11</v>
      </c>
      <c r="AG23" s="20" t="s">
        <v>11</v>
      </c>
      <c r="AH23" s="20" t="s">
        <v>12</v>
      </c>
      <c r="AI23" s="13">
        <f t="shared" si="0"/>
        <v>0.4838709677419355</v>
      </c>
    </row>
    <row r="24" spans="1:35" ht="15.75" customHeight="1" x14ac:dyDescent="0.25">
      <c r="A24" s="138" t="s">
        <v>28</v>
      </c>
      <c r="B24" s="139"/>
      <c r="C24" s="140"/>
      <c r="D24" s="14" t="s">
        <v>12</v>
      </c>
      <c r="E24" s="14" t="s">
        <v>12</v>
      </c>
      <c r="F24" s="14" t="s">
        <v>12</v>
      </c>
      <c r="G24" s="14" t="s">
        <v>12</v>
      </c>
      <c r="H24" s="14" t="s">
        <v>12</v>
      </c>
      <c r="I24" s="14" t="s">
        <v>12</v>
      </c>
      <c r="J24" s="14" t="s">
        <v>12</v>
      </c>
      <c r="K24" s="14" t="s">
        <v>12</v>
      </c>
      <c r="L24" s="14" t="s">
        <v>12</v>
      </c>
      <c r="M24" s="14" t="s">
        <v>12</v>
      </c>
      <c r="N24" s="14" t="s">
        <v>11</v>
      </c>
      <c r="O24" s="14" t="s">
        <v>11</v>
      </c>
      <c r="P24" s="15" t="s">
        <v>12</v>
      </c>
      <c r="Q24" s="15" t="s">
        <v>12</v>
      </c>
      <c r="R24" s="15" t="s">
        <v>12</v>
      </c>
      <c r="S24" s="15" t="s">
        <v>12</v>
      </c>
      <c r="T24" s="15" t="s">
        <v>11</v>
      </c>
      <c r="U24" s="15" t="s">
        <v>12</v>
      </c>
      <c r="V24" s="14" t="s">
        <v>12</v>
      </c>
      <c r="W24" s="14" t="s">
        <v>12</v>
      </c>
      <c r="X24" s="14" t="s">
        <v>12</v>
      </c>
      <c r="Y24" s="14" t="s">
        <v>11</v>
      </c>
      <c r="Z24" s="14" t="s">
        <v>12</v>
      </c>
      <c r="AA24" s="14" t="s">
        <v>12</v>
      </c>
      <c r="AB24" s="14" t="s">
        <v>12</v>
      </c>
      <c r="AC24" s="14" t="s">
        <v>12</v>
      </c>
      <c r="AD24" s="14" t="s">
        <v>12</v>
      </c>
      <c r="AE24" s="14" t="s">
        <v>11</v>
      </c>
      <c r="AF24" s="15" t="s">
        <v>11</v>
      </c>
      <c r="AG24" s="15" t="s">
        <v>12</v>
      </c>
      <c r="AH24" s="15" t="s">
        <v>12</v>
      </c>
      <c r="AI24" s="17">
        <f t="shared" si="0"/>
        <v>0.19354838709677419</v>
      </c>
    </row>
    <row r="25" spans="1:35" ht="15.75" customHeight="1" x14ac:dyDescent="0.25">
      <c r="A25" s="144" t="s">
        <v>29</v>
      </c>
      <c r="B25" s="145"/>
      <c r="C25" s="146"/>
      <c r="D25" s="26" t="s">
        <v>11</v>
      </c>
      <c r="E25" s="26" t="s">
        <v>11</v>
      </c>
      <c r="F25" s="26" t="s">
        <v>22</v>
      </c>
      <c r="G25" s="26" t="s">
        <v>22</v>
      </c>
      <c r="H25" s="26" t="s">
        <v>22</v>
      </c>
      <c r="I25" s="26" t="s">
        <v>22</v>
      </c>
      <c r="J25" s="26" t="s">
        <v>11</v>
      </c>
      <c r="K25" s="26" t="s">
        <v>11</v>
      </c>
      <c r="L25" s="26" t="s">
        <v>11</v>
      </c>
      <c r="M25" s="26" t="s">
        <v>11</v>
      </c>
      <c r="N25" s="26" t="s">
        <v>11</v>
      </c>
      <c r="O25" s="26" t="s">
        <v>11</v>
      </c>
      <c r="P25" s="26" t="s">
        <v>11</v>
      </c>
      <c r="Q25" s="26" t="s">
        <v>11</v>
      </c>
      <c r="R25" s="26" t="s">
        <v>11</v>
      </c>
      <c r="S25" s="26" t="s">
        <v>11</v>
      </c>
      <c r="T25" s="26" t="s">
        <v>11</v>
      </c>
      <c r="U25" s="26" t="s">
        <v>11</v>
      </c>
      <c r="V25" s="26" t="s">
        <v>22</v>
      </c>
      <c r="W25" s="26" t="s">
        <v>22</v>
      </c>
      <c r="X25" s="26" t="s">
        <v>22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5" t="s">
        <v>11</v>
      </c>
      <c r="AG25" s="25" t="s">
        <v>11</v>
      </c>
      <c r="AH25" s="25" t="s">
        <v>11</v>
      </c>
      <c r="AI25" s="19">
        <f t="shared" si="0"/>
        <v>1</v>
      </c>
    </row>
    <row r="26" spans="1:35" ht="15.75" customHeight="1" x14ac:dyDescent="0.25">
      <c r="A26" s="144" t="s">
        <v>30</v>
      </c>
      <c r="B26" s="145"/>
      <c r="C26" s="146"/>
      <c r="D26" s="81" t="s">
        <v>11</v>
      </c>
      <c r="E26" s="81" t="s">
        <v>11</v>
      </c>
      <c r="F26" s="81" t="s">
        <v>22</v>
      </c>
      <c r="G26" s="81" t="s">
        <v>22</v>
      </c>
      <c r="H26" s="81" t="s">
        <v>22</v>
      </c>
      <c r="I26" s="81" t="s">
        <v>22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22</v>
      </c>
      <c r="W26" s="81" t="s">
        <v>22</v>
      </c>
      <c r="X26" s="81" t="s">
        <v>22</v>
      </c>
      <c r="Y26" s="81" t="s">
        <v>22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25" t="s">
        <v>11</v>
      </c>
      <c r="AG26" s="25" t="s">
        <v>11</v>
      </c>
      <c r="AH26" s="25" t="s">
        <v>11</v>
      </c>
      <c r="AI26" s="19">
        <f t="shared" si="0"/>
        <v>1</v>
      </c>
    </row>
    <row r="27" spans="1:35" ht="15.75" customHeight="1" x14ac:dyDescent="0.25">
      <c r="A27" s="141" t="s">
        <v>31</v>
      </c>
      <c r="B27" s="142"/>
      <c r="C27" s="143"/>
      <c r="D27" s="27" t="s">
        <v>9</v>
      </c>
      <c r="E27" s="27" t="s">
        <v>9</v>
      </c>
      <c r="F27" s="27" t="s">
        <v>9</v>
      </c>
      <c r="G27" s="27" t="s">
        <v>9</v>
      </c>
      <c r="H27" s="27" t="s">
        <v>9</v>
      </c>
      <c r="I27" s="27" t="s">
        <v>9</v>
      </c>
      <c r="J27" s="27" t="s">
        <v>9</v>
      </c>
      <c r="K27" s="27" t="s">
        <v>9</v>
      </c>
      <c r="L27" s="27" t="s">
        <v>9</v>
      </c>
      <c r="M27" s="27" t="s">
        <v>8</v>
      </c>
      <c r="N27" s="27" t="s">
        <v>8</v>
      </c>
      <c r="O27" s="27" t="s">
        <v>8</v>
      </c>
      <c r="P27" s="27" t="s">
        <v>8</v>
      </c>
      <c r="Q27" s="27" t="s">
        <v>8</v>
      </c>
      <c r="R27" s="27" t="s">
        <v>8</v>
      </c>
      <c r="S27" s="27" t="s">
        <v>8</v>
      </c>
      <c r="T27" s="27" t="s">
        <v>9</v>
      </c>
      <c r="U27" s="27" t="s">
        <v>9</v>
      </c>
      <c r="V27" s="27" t="s">
        <v>9</v>
      </c>
      <c r="W27" s="27" t="s">
        <v>9</v>
      </c>
      <c r="X27" s="27" t="s">
        <v>9</v>
      </c>
      <c r="Y27" s="27" t="s">
        <v>8</v>
      </c>
      <c r="Z27" s="27" t="s">
        <v>9</v>
      </c>
      <c r="AA27" s="27" t="s">
        <v>9</v>
      </c>
      <c r="AB27" s="27" t="s">
        <v>8</v>
      </c>
      <c r="AC27" s="27" t="s">
        <v>8</v>
      </c>
      <c r="AD27" s="27" t="s">
        <v>8</v>
      </c>
      <c r="AE27" s="72" t="s">
        <v>8</v>
      </c>
      <c r="AF27" s="72" t="s">
        <v>8</v>
      </c>
      <c r="AG27" s="72" t="s">
        <v>8</v>
      </c>
      <c r="AH27" s="72" t="s">
        <v>8</v>
      </c>
      <c r="AI27" s="13">
        <f t="shared" si="0"/>
        <v>1</v>
      </c>
    </row>
    <row r="28" spans="1:35" ht="15.75" customHeight="1" x14ac:dyDescent="0.25">
      <c r="A28" s="156" t="s">
        <v>32</v>
      </c>
      <c r="B28" s="157"/>
      <c r="C28" s="158"/>
      <c r="D28" s="28">
        <v>2</v>
      </c>
      <c r="E28" s="28">
        <v>2</v>
      </c>
      <c r="F28" s="28">
        <v>2</v>
      </c>
      <c r="G28" s="28" t="s">
        <v>124</v>
      </c>
      <c r="H28" s="28">
        <v>2</v>
      </c>
      <c r="I28" s="28" t="s">
        <v>213</v>
      </c>
      <c r="J28" s="28">
        <v>0</v>
      </c>
      <c r="K28" s="28" t="s">
        <v>214</v>
      </c>
      <c r="L28" s="28" t="s">
        <v>213</v>
      </c>
      <c r="M28" s="28">
        <v>2</v>
      </c>
      <c r="N28" s="28">
        <v>3</v>
      </c>
      <c r="O28" s="28">
        <v>2</v>
      </c>
      <c r="P28" s="28">
        <v>2</v>
      </c>
      <c r="Q28" s="28" t="s">
        <v>116</v>
      </c>
      <c r="R28" s="28" t="s">
        <v>116</v>
      </c>
      <c r="S28" s="28" t="s">
        <v>116</v>
      </c>
      <c r="T28" s="28" t="s">
        <v>116</v>
      </c>
      <c r="U28" s="28" t="s">
        <v>116</v>
      </c>
      <c r="V28" s="28" t="s">
        <v>118</v>
      </c>
      <c r="W28" s="28" t="s">
        <v>118</v>
      </c>
      <c r="X28" s="28" t="s">
        <v>124</v>
      </c>
      <c r="Y28" s="28" t="s">
        <v>124</v>
      </c>
      <c r="Z28" s="75">
        <v>2</v>
      </c>
      <c r="AA28" s="75">
        <v>2</v>
      </c>
      <c r="AB28" s="75">
        <v>2</v>
      </c>
      <c r="AC28" s="28" t="s">
        <v>116</v>
      </c>
      <c r="AD28" s="28" t="s">
        <v>116</v>
      </c>
      <c r="AE28" s="28" t="s">
        <v>116</v>
      </c>
      <c r="AF28" s="82" t="s">
        <v>124</v>
      </c>
      <c r="AG28" s="82">
        <v>2</v>
      </c>
      <c r="AH28" s="82">
        <v>2</v>
      </c>
      <c r="AI28" s="17">
        <f>IF(COUNTA(D28:AH28)&gt;0,(COUNTA(D28:AH28)-COUNTIF(D28:AH28,"NB")-COUNTIF(D28:AH28,"DN")-COUNTIF(D28:AH28,"An")-COUNTIF(D28:AH28,"NB^")-COUNTIF(D28:AH28,0))/COUNTA(D28:AH28),"")</f>
        <v>0.967741935483871</v>
      </c>
    </row>
    <row r="29" spans="1:35" ht="15.75" customHeight="1" x14ac:dyDescent="0.25">
      <c r="A29" s="153" t="s">
        <v>99</v>
      </c>
      <c r="B29" s="154"/>
      <c r="C29" s="155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 t="s">
        <v>215</v>
      </c>
      <c r="R29" s="83" t="s">
        <v>216</v>
      </c>
      <c r="S29" s="83" t="s">
        <v>217</v>
      </c>
      <c r="T29" s="83" t="s">
        <v>218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 t="s">
        <v>220</v>
      </c>
      <c r="AE29" s="29" t="s">
        <v>219</v>
      </c>
      <c r="AF29" s="29" t="s">
        <v>136</v>
      </c>
      <c r="AG29" s="29">
        <v>0</v>
      </c>
      <c r="AH29" s="29"/>
      <c r="AI29" s="19">
        <f>IF(COUNTA(D29:AH29)&gt;0,(COUNTA(D29:AH29)-COUNTIF(D29:AH29,"NB")-COUNTIF(D29:AH29,"DN")-COUNTIF(D29:AH29,"An")-COUNTIF(D29:AH29,"NB^")-COUNTIF(D29:AH29,0))/COUNTA(D29:AH29),"")</f>
        <v>0.23333333333333334</v>
      </c>
    </row>
    <row r="30" spans="1:35" ht="15.75" customHeight="1" x14ac:dyDescent="0.25">
      <c r="A30" s="165" t="s">
        <v>33</v>
      </c>
      <c r="B30" s="166"/>
      <c r="C30" s="167"/>
      <c r="D30" s="84" t="s">
        <v>9</v>
      </c>
      <c r="E30" s="84" t="s">
        <v>9</v>
      </c>
      <c r="F30" s="84" t="s">
        <v>9</v>
      </c>
      <c r="G30" s="84" t="s">
        <v>9</v>
      </c>
      <c r="H30" s="84" t="s">
        <v>9</v>
      </c>
      <c r="I30" s="84" t="s">
        <v>9</v>
      </c>
      <c r="J30" s="84" t="s">
        <v>9</v>
      </c>
      <c r="K30" s="84" t="s">
        <v>9</v>
      </c>
      <c r="L30" s="84" t="s">
        <v>9</v>
      </c>
      <c r="M30" s="84" t="s">
        <v>8</v>
      </c>
      <c r="N30" s="84" t="s">
        <v>8</v>
      </c>
      <c r="O30" s="84" t="s">
        <v>8</v>
      </c>
      <c r="P30" s="84" t="s">
        <v>8</v>
      </c>
      <c r="Q30" s="84" t="s">
        <v>8</v>
      </c>
      <c r="R30" s="84" t="s">
        <v>8</v>
      </c>
      <c r="S30" s="84" t="s">
        <v>8</v>
      </c>
      <c r="T30" s="84" t="s">
        <v>9</v>
      </c>
      <c r="U30" s="84" t="s">
        <v>9</v>
      </c>
      <c r="V30" s="84" t="s">
        <v>9</v>
      </c>
      <c r="W30" s="84" t="s">
        <v>9</v>
      </c>
      <c r="X30" s="84" t="s">
        <v>9</v>
      </c>
      <c r="Y30" s="84" t="s">
        <v>8</v>
      </c>
      <c r="Z30" s="84" t="s">
        <v>9</v>
      </c>
      <c r="AA30" s="84" t="s">
        <v>9</v>
      </c>
      <c r="AB30" s="84" t="s">
        <v>8</v>
      </c>
      <c r="AC30" s="84" t="s">
        <v>8</v>
      </c>
      <c r="AD30" s="84" t="s">
        <v>8</v>
      </c>
      <c r="AE30" s="84" t="s">
        <v>8</v>
      </c>
      <c r="AF30" s="84" t="s">
        <v>8</v>
      </c>
      <c r="AG30" s="84" t="s">
        <v>8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41" t="s">
        <v>34</v>
      </c>
      <c r="B31" s="142"/>
      <c r="C31" s="143"/>
      <c r="D31" s="72" t="s">
        <v>9</v>
      </c>
      <c r="E31" s="72" t="s">
        <v>9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8</v>
      </c>
      <c r="N31" s="72" t="s">
        <v>8</v>
      </c>
      <c r="O31" s="72" t="s">
        <v>8</v>
      </c>
      <c r="P31" s="72" t="s">
        <v>8</v>
      </c>
      <c r="Q31" s="72" t="s">
        <v>8</v>
      </c>
      <c r="R31" s="72" t="s">
        <v>8</v>
      </c>
      <c r="S31" s="72" t="s">
        <v>8</v>
      </c>
      <c r="T31" s="72" t="s">
        <v>9</v>
      </c>
      <c r="U31" s="72" t="s">
        <v>9</v>
      </c>
      <c r="V31" s="72" t="s">
        <v>9</v>
      </c>
      <c r="W31" s="72" t="s">
        <v>9</v>
      </c>
      <c r="X31" s="72" t="s">
        <v>9</v>
      </c>
      <c r="Y31" s="72" t="s">
        <v>8</v>
      </c>
      <c r="Z31" s="72" t="s">
        <v>9</v>
      </c>
      <c r="AA31" s="72" t="s">
        <v>9</v>
      </c>
      <c r="AB31" s="72" t="s">
        <v>8</v>
      </c>
      <c r="AC31" s="72" t="s">
        <v>8</v>
      </c>
      <c r="AD31" s="72" t="s">
        <v>8</v>
      </c>
      <c r="AE31" s="72" t="s">
        <v>8</v>
      </c>
      <c r="AF31" s="72" t="s">
        <v>8</v>
      </c>
      <c r="AG31" s="72" t="s">
        <v>8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8" t="s">
        <v>35</v>
      </c>
      <c r="B32" s="169"/>
      <c r="C32" s="170"/>
      <c r="D32" s="85" t="s">
        <v>9</v>
      </c>
      <c r="E32" s="85" t="s">
        <v>9</v>
      </c>
      <c r="F32" s="85" t="s">
        <v>9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8</v>
      </c>
      <c r="N32" s="85" t="s">
        <v>8</v>
      </c>
      <c r="O32" s="85" t="s">
        <v>8</v>
      </c>
      <c r="P32" s="85" t="s">
        <v>8</v>
      </c>
      <c r="Q32" s="85" t="s">
        <v>8</v>
      </c>
      <c r="R32" s="85" t="s">
        <v>8</v>
      </c>
      <c r="S32" s="85" t="s">
        <v>8</v>
      </c>
      <c r="T32" s="85" t="s">
        <v>9</v>
      </c>
      <c r="U32" s="85" t="s">
        <v>9</v>
      </c>
      <c r="V32" s="85" t="s">
        <v>9</v>
      </c>
      <c r="W32" s="85" t="s">
        <v>9</v>
      </c>
      <c r="X32" s="85" t="s">
        <v>9</v>
      </c>
      <c r="Y32" s="85" t="s">
        <v>8</v>
      </c>
      <c r="Z32" s="85" t="s">
        <v>9</v>
      </c>
      <c r="AA32" s="85" t="s">
        <v>9</v>
      </c>
      <c r="AB32" s="85" t="s">
        <v>8</v>
      </c>
      <c r="AC32" s="85" t="s">
        <v>8</v>
      </c>
      <c r="AD32" s="85" t="s">
        <v>8</v>
      </c>
      <c r="AE32" s="85" t="s">
        <v>8</v>
      </c>
      <c r="AF32" s="85" t="s">
        <v>8</v>
      </c>
      <c r="AG32" s="85" t="s">
        <v>8</v>
      </c>
      <c r="AH32" s="85" t="s">
        <v>8</v>
      </c>
      <c r="AI32" s="17">
        <f t="shared" si="0"/>
        <v>1</v>
      </c>
    </row>
    <row r="33" spans="1:44" ht="15.75" customHeight="1" x14ac:dyDescent="0.25">
      <c r="A33" s="144" t="s">
        <v>36</v>
      </c>
      <c r="B33" s="145"/>
      <c r="C33" s="146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  <c r="O33" s="25" t="s">
        <v>11</v>
      </c>
      <c r="P33" s="25" t="s">
        <v>11</v>
      </c>
      <c r="Q33" s="25" t="s">
        <v>11</v>
      </c>
      <c r="R33" s="25" t="s">
        <v>11</v>
      </c>
      <c r="S33" s="25" t="s">
        <v>11</v>
      </c>
      <c r="T33" s="25" t="s">
        <v>11</v>
      </c>
      <c r="U33" s="25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25" t="s">
        <v>11</v>
      </c>
      <c r="AB33" s="25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25" t="s">
        <v>11</v>
      </c>
      <c r="AI33" s="19">
        <f t="shared" si="0"/>
        <v>1</v>
      </c>
    </row>
    <row r="34" spans="1:44" ht="15.75" customHeight="1" x14ac:dyDescent="0.25">
      <c r="A34" s="144" t="s">
        <v>95</v>
      </c>
      <c r="B34" s="145"/>
      <c r="C34" s="146"/>
      <c r="D34" s="24" t="s">
        <v>11</v>
      </c>
      <c r="E34" s="24" t="s">
        <v>11</v>
      </c>
      <c r="F34" s="24" t="s">
        <v>22</v>
      </c>
      <c r="G34" s="24" t="s">
        <v>22</v>
      </c>
      <c r="H34" s="24" t="s">
        <v>22</v>
      </c>
      <c r="I34" s="24" t="s">
        <v>22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5" t="s">
        <v>11</v>
      </c>
      <c r="Z34" s="25" t="s">
        <v>11</v>
      </c>
      <c r="AA34" s="25" t="s">
        <v>11</v>
      </c>
      <c r="AB34" s="25" t="s">
        <v>11</v>
      </c>
      <c r="AC34" s="25" t="s">
        <v>11</v>
      </c>
      <c r="AD34" s="25" t="s">
        <v>11</v>
      </c>
      <c r="AE34" s="25" t="s">
        <v>11</v>
      </c>
      <c r="AF34" s="25" t="s">
        <v>11</v>
      </c>
      <c r="AG34" s="25" t="s">
        <v>11</v>
      </c>
      <c r="AH34" s="25" t="s">
        <v>11</v>
      </c>
      <c r="AI34" s="19">
        <f t="shared" si="0"/>
        <v>1</v>
      </c>
    </row>
    <row r="35" spans="1:44" ht="15.75" customHeight="1" thickBot="1" x14ac:dyDescent="0.3">
      <c r="A35" s="171" t="s">
        <v>96</v>
      </c>
      <c r="B35" s="172"/>
      <c r="C35" s="173"/>
      <c r="D35" s="96" t="s">
        <v>11</v>
      </c>
      <c r="E35" s="96" t="s">
        <v>11</v>
      </c>
      <c r="F35" s="96" t="s">
        <v>22</v>
      </c>
      <c r="G35" s="96" t="s">
        <v>22</v>
      </c>
      <c r="H35" s="96" t="s">
        <v>22</v>
      </c>
      <c r="I35" s="96" t="s">
        <v>22</v>
      </c>
      <c r="J35" s="96" t="s">
        <v>11</v>
      </c>
      <c r="K35" s="96" t="s">
        <v>11</v>
      </c>
      <c r="L35" s="96" t="s">
        <v>11</v>
      </c>
      <c r="M35" s="96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11</v>
      </c>
      <c r="V35" s="96" t="s">
        <v>22</v>
      </c>
      <c r="W35" s="96" t="s">
        <v>22</v>
      </c>
      <c r="X35" s="96" t="s">
        <v>11</v>
      </c>
      <c r="Y35" s="97" t="s">
        <v>11</v>
      </c>
      <c r="Z35" s="97" t="s">
        <v>11</v>
      </c>
      <c r="AA35" s="97" t="s">
        <v>11</v>
      </c>
      <c r="AB35" s="97" t="s">
        <v>11</v>
      </c>
      <c r="AC35" s="97" t="s">
        <v>11</v>
      </c>
      <c r="AD35" s="97" t="s">
        <v>11</v>
      </c>
      <c r="AE35" s="97" t="s">
        <v>11</v>
      </c>
      <c r="AF35" s="97" t="s">
        <v>11</v>
      </c>
      <c r="AG35" s="97" t="s">
        <v>11</v>
      </c>
      <c r="AH35" s="97" t="s">
        <v>11</v>
      </c>
      <c r="AI35" s="98">
        <f t="shared" si="0"/>
        <v>1</v>
      </c>
    </row>
    <row r="36" spans="1:44" s="32" customFormat="1" ht="15.75" customHeight="1" x14ac:dyDescent="0.25">
      <c r="A36" s="162" t="s">
        <v>37</v>
      </c>
      <c r="B36" s="163"/>
      <c r="C36" s="164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93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4" t="s">
        <v>38</v>
      </c>
      <c r="B37" s="175"/>
      <c r="C37" s="176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>AB</v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I40" s="104"/>
    </row>
    <row r="41" spans="1:44" ht="15.75" customHeight="1" thickBot="1" x14ac:dyDescent="0.3">
      <c r="A41" s="159" t="s">
        <v>39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1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1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30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AF22:AF26">
    <cfRule type="cellIs" dxfId="251" priority="317" stopIfTrue="1" operator="equal">
      <formula>"B"</formula>
    </cfRule>
    <cfRule type="cellIs" dxfId="250" priority="318" stopIfTrue="1" operator="equal">
      <formula>"M"</formula>
    </cfRule>
    <cfRule type="cellIs" dxfId="249" priority="319" stopIfTrue="1" operator="between">
      <formula>"NB"</formula>
      <formula>"NB^"</formula>
    </cfRule>
  </conditionalFormatting>
  <conditionalFormatting sqref="AE6:AE7 AE9:AE14 AE22:AE24 AE27 AE30:AH33">
    <cfRule type="cellIs" dxfId="248" priority="310" stopIfTrue="1" operator="equal">
      <formula>"B"</formula>
    </cfRule>
    <cfRule type="cellIs" dxfId="247" priority="311" stopIfTrue="1" operator="equal">
      <formula>"M"</formula>
    </cfRule>
    <cfRule type="cellIs" dxfId="246" priority="312" stopIfTrue="1" operator="between">
      <formula>"NB"</formula>
      <formula>"NB^"</formula>
    </cfRule>
  </conditionalFormatting>
  <conditionalFormatting sqref="T34:AH34">
    <cfRule type="cellIs" dxfId="245" priority="304" stopIfTrue="1" operator="equal">
      <formula>"B"</formula>
    </cfRule>
    <cfRule type="cellIs" dxfId="244" priority="305" stopIfTrue="1" operator="equal">
      <formula>"M"</formula>
    </cfRule>
    <cfRule type="cellIs" dxfId="243" priority="306" stopIfTrue="1" operator="between">
      <formula>"NB"</formula>
      <formula>"NB^"</formula>
    </cfRule>
  </conditionalFormatting>
  <conditionalFormatting sqref="T35:AH35">
    <cfRule type="cellIs" dxfId="242" priority="298" stopIfTrue="1" operator="equal">
      <formula>"B"</formula>
    </cfRule>
    <cfRule type="cellIs" dxfId="241" priority="299" stopIfTrue="1" operator="equal">
      <formula>"M"</formula>
    </cfRule>
    <cfRule type="cellIs" dxfId="240" priority="300" stopIfTrue="1" operator="between">
      <formula>"NB"</formula>
      <formula>"NB^"</formula>
    </cfRule>
  </conditionalFormatting>
  <conditionalFormatting sqref="T8:AH8">
    <cfRule type="cellIs" dxfId="239" priority="295" stopIfTrue="1" operator="equal">
      <formula>"B"</formula>
    </cfRule>
    <cfRule type="cellIs" dxfId="238" priority="296" stopIfTrue="1" operator="equal">
      <formula>"M"</formula>
    </cfRule>
    <cfRule type="cellIs" dxfId="237" priority="297" stopIfTrue="1" operator="between">
      <formula>"NB"</formula>
      <formula>"NB^"</formula>
    </cfRule>
  </conditionalFormatting>
  <conditionalFormatting sqref="Q23:Q26 P22:P24 T18:AA27 AB25:AE26 AE18:AE21 T9:AD14 T6:AD7 AB18:AD24 T30:AD33 AB27:AD27 AF9:AH14">
    <cfRule type="cellIs" dxfId="236" priority="339" stopIfTrue="1" operator="equal">
      <formula>"B"</formula>
    </cfRule>
    <cfRule type="cellIs" dxfId="235" priority="340" stopIfTrue="1" operator="equal">
      <formula>"M"</formula>
    </cfRule>
    <cfRule type="cellIs" dxfId="234" priority="341" stopIfTrue="1" operator="between">
      <formula>"NB"</formula>
      <formula>"NB^"</formula>
    </cfRule>
  </conditionalFormatting>
  <conditionalFormatting sqref="T28:AD29 AF28:AH28">
    <cfRule type="cellIs" dxfId="233" priority="342" stopIfTrue="1" operator="equal">
      <formula>0</formula>
    </cfRule>
  </conditionalFormatting>
  <conditionalFormatting sqref="AF29:AH29">
    <cfRule type="cellIs" dxfId="232" priority="338" stopIfTrue="1" operator="equal">
      <formula>0</formula>
    </cfRule>
  </conditionalFormatting>
  <conditionalFormatting sqref="T15:AF17">
    <cfRule type="cellIs" dxfId="231" priority="329" stopIfTrue="1" operator="equal">
      <formula>"B"</formula>
    </cfRule>
    <cfRule type="cellIs" dxfId="230" priority="330" stopIfTrue="1" operator="equal">
      <formula>"M"</formula>
    </cfRule>
    <cfRule type="cellIs" dxfId="229" priority="331" stopIfTrue="1" operator="between">
      <formula>"NB"</formula>
      <formula>"NB^"</formula>
    </cfRule>
  </conditionalFormatting>
  <conditionalFormatting sqref="AF18:AF21 AF27:AH27">
    <cfRule type="cellIs" dxfId="228" priority="326" stopIfTrue="1" operator="equal">
      <formula>"B"</formula>
    </cfRule>
    <cfRule type="cellIs" dxfId="227" priority="327" stopIfTrue="1" operator="equal">
      <formula>"M"</formula>
    </cfRule>
    <cfRule type="cellIs" dxfId="226" priority="328" stopIfTrue="1" operator="between">
      <formula>"NB"</formula>
      <formula>"NB^"</formula>
    </cfRule>
  </conditionalFormatting>
  <conditionalFormatting sqref="AF6:AH7">
    <cfRule type="cellIs" dxfId="225" priority="323" stopIfTrue="1" operator="equal">
      <formula>"B"</formula>
    </cfRule>
    <cfRule type="cellIs" dxfId="224" priority="324" stopIfTrue="1" operator="equal">
      <formula>"M"</formula>
    </cfRule>
    <cfRule type="cellIs" dxfId="223" priority="325" stopIfTrue="1" operator="between">
      <formula>"NB"</formula>
      <formula>"NB^"</formula>
    </cfRule>
  </conditionalFormatting>
  <conditionalFormatting sqref="AE28:AE29">
    <cfRule type="cellIs" dxfId="222" priority="313" stopIfTrue="1" operator="equal">
      <formula>0</formula>
    </cfRule>
  </conditionalFormatting>
  <conditionalFormatting sqref="D9:D14">
    <cfRule type="cellIs" dxfId="221" priority="292" stopIfTrue="1" operator="equal">
      <formula>"B"</formula>
    </cfRule>
    <cfRule type="cellIs" dxfId="220" priority="293" stopIfTrue="1" operator="equal">
      <formula>"M"</formula>
    </cfRule>
    <cfRule type="cellIs" dxfId="219" priority="294" stopIfTrue="1" operator="between">
      <formula>"NB"</formula>
      <formula>"NB^"</formula>
    </cfRule>
  </conditionalFormatting>
  <conditionalFormatting sqref="D30:D33 D18:D27 D6:D7">
    <cfRule type="cellIs" dxfId="218" priority="288" stopIfTrue="1" operator="equal">
      <formula>"B"</formula>
    </cfRule>
    <cfRule type="cellIs" dxfId="217" priority="289" stopIfTrue="1" operator="equal">
      <formula>"M"</formula>
    </cfRule>
    <cfRule type="cellIs" dxfId="216" priority="290" stopIfTrue="1" operator="between">
      <formula>"NB"</formula>
      <formula>"NB^"</formula>
    </cfRule>
  </conditionalFormatting>
  <conditionalFormatting sqref="D28:D29">
    <cfRule type="cellIs" dxfId="215" priority="291" stopIfTrue="1" operator="equal">
      <formula>0</formula>
    </cfRule>
  </conditionalFormatting>
  <conditionalFormatting sqref="D15:D17">
    <cfRule type="cellIs" dxfId="214" priority="285" stopIfTrue="1" operator="equal">
      <formula>"B"</formula>
    </cfRule>
    <cfRule type="cellIs" dxfId="213" priority="286" stopIfTrue="1" operator="equal">
      <formula>"M"</formula>
    </cfRule>
    <cfRule type="cellIs" dxfId="212" priority="287" stopIfTrue="1" operator="between">
      <formula>"NB"</formula>
      <formula>"NB^"</formula>
    </cfRule>
  </conditionalFormatting>
  <conditionalFormatting sqref="D8 I8 M8:P8">
    <cfRule type="cellIs" dxfId="211" priority="282" stopIfTrue="1" operator="equal">
      <formula>"B"</formula>
    </cfRule>
    <cfRule type="cellIs" dxfId="210" priority="283" stopIfTrue="1" operator="equal">
      <formula>"M"</formula>
    </cfRule>
    <cfRule type="cellIs" dxfId="209" priority="284" stopIfTrue="1" operator="between">
      <formula>"NB"</formula>
      <formula>"NB^"</formula>
    </cfRule>
  </conditionalFormatting>
  <conditionalFormatting sqref="D34">
    <cfRule type="cellIs" dxfId="208" priority="279" stopIfTrue="1" operator="equal">
      <formula>"B"</formula>
    </cfRule>
    <cfRule type="cellIs" dxfId="207" priority="280" stopIfTrue="1" operator="equal">
      <formula>"M"</formula>
    </cfRule>
    <cfRule type="cellIs" dxfId="206" priority="281" stopIfTrue="1" operator="between">
      <formula>"NB"</formula>
      <formula>"NB^"</formula>
    </cfRule>
  </conditionalFormatting>
  <conditionalFormatting sqref="D35">
    <cfRule type="cellIs" dxfId="205" priority="276" stopIfTrue="1" operator="equal">
      <formula>"B"</formula>
    </cfRule>
    <cfRule type="cellIs" dxfId="204" priority="277" stopIfTrue="1" operator="equal">
      <formula>"M"</formula>
    </cfRule>
    <cfRule type="cellIs" dxfId="203" priority="278" stopIfTrue="1" operator="between">
      <formula>"NB"</formula>
      <formula>"NB^"</formula>
    </cfRule>
  </conditionalFormatting>
  <conditionalFormatting sqref="H22:I22">
    <cfRule type="cellIs" dxfId="202" priority="250" stopIfTrue="1" operator="equal">
      <formula>"B"</formula>
    </cfRule>
    <cfRule type="cellIs" dxfId="201" priority="251" stopIfTrue="1" operator="equal">
      <formula>"M"</formula>
    </cfRule>
    <cfRule type="cellIs" dxfId="200" priority="252" stopIfTrue="1" operator="between">
      <formula>"NB"</formula>
      <formula>"NB^"</formula>
    </cfRule>
  </conditionalFormatting>
  <conditionalFormatting sqref="K30:K33 K25:K26">
    <cfRule type="cellIs" dxfId="199" priority="231" stopIfTrue="1" operator="equal">
      <formula>"B"</formula>
    </cfRule>
    <cfRule type="cellIs" dxfId="198" priority="232" stopIfTrue="1" operator="equal">
      <formula>"M"</formula>
    </cfRule>
    <cfRule type="cellIs" dxfId="197" priority="233" stopIfTrue="1" operator="between">
      <formula>"NB"</formula>
      <formula>"NB^"</formula>
    </cfRule>
  </conditionalFormatting>
  <conditionalFormatting sqref="K28:K29">
    <cfRule type="cellIs" dxfId="196" priority="234" stopIfTrue="1" operator="equal">
      <formula>0</formula>
    </cfRule>
  </conditionalFormatting>
  <conditionalFormatting sqref="K34">
    <cfRule type="cellIs" dxfId="195" priority="222" stopIfTrue="1" operator="equal">
      <formula>"B"</formula>
    </cfRule>
    <cfRule type="cellIs" dxfId="194" priority="223" stopIfTrue="1" operator="equal">
      <formula>"M"</formula>
    </cfRule>
    <cfRule type="cellIs" dxfId="193" priority="224" stopIfTrue="1" operator="between">
      <formula>"NB"</formula>
      <formula>"NB^"</formula>
    </cfRule>
  </conditionalFormatting>
  <conditionalFormatting sqref="K35">
    <cfRule type="cellIs" dxfId="192" priority="219" stopIfTrue="1" operator="equal">
      <formula>"B"</formula>
    </cfRule>
    <cfRule type="cellIs" dxfId="191" priority="220" stopIfTrue="1" operator="equal">
      <formula>"M"</formula>
    </cfRule>
    <cfRule type="cellIs" dxfId="190" priority="221" stopIfTrue="1" operator="between">
      <formula>"NB"</formula>
      <formula>"NB^"</formula>
    </cfRule>
  </conditionalFormatting>
  <conditionalFormatting sqref="L30:L33 L25:L26">
    <cfRule type="cellIs" dxfId="189" priority="212" stopIfTrue="1" operator="equal">
      <formula>"B"</formula>
    </cfRule>
    <cfRule type="cellIs" dxfId="188" priority="213" stopIfTrue="1" operator="equal">
      <formula>"M"</formula>
    </cfRule>
    <cfRule type="cellIs" dxfId="187" priority="214" stopIfTrue="1" operator="between">
      <formula>"NB"</formula>
      <formula>"NB^"</formula>
    </cfRule>
  </conditionalFormatting>
  <conditionalFormatting sqref="L28:L29">
    <cfRule type="cellIs" dxfId="186" priority="215" stopIfTrue="1" operator="equal">
      <formula>0</formula>
    </cfRule>
  </conditionalFormatting>
  <conditionalFormatting sqref="L34">
    <cfRule type="cellIs" dxfId="185" priority="203" stopIfTrue="1" operator="equal">
      <formula>"B"</formula>
    </cfRule>
    <cfRule type="cellIs" dxfId="184" priority="204" stopIfTrue="1" operator="equal">
      <formula>"M"</formula>
    </cfRule>
    <cfRule type="cellIs" dxfId="183" priority="205" stopIfTrue="1" operator="between">
      <formula>"NB"</formula>
      <formula>"NB^"</formula>
    </cfRule>
  </conditionalFormatting>
  <conditionalFormatting sqref="L35">
    <cfRule type="cellIs" dxfId="182" priority="200" stopIfTrue="1" operator="equal">
      <formula>"B"</formula>
    </cfRule>
    <cfRule type="cellIs" dxfId="181" priority="201" stopIfTrue="1" operator="equal">
      <formula>"M"</formula>
    </cfRule>
    <cfRule type="cellIs" dxfId="180" priority="202" stopIfTrue="1" operator="between">
      <formula>"NB"</formula>
      <formula>"NB^"</formula>
    </cfRule>
  </conditionalFormatting>
  <conditionalFormatting sqref="M9:P14">
    <cfRule type="cellIs" dxfId="179" priority="197" stopIfTrue="1" operator="equal">
      <formula>"B"</formula>
    </cfRule>
    <cfRule type="cellIs" dxfId="178" priority="198" stopIfTrue="1" operator="equal">
      <formula>"M"</formula>
    </cfRule>
    <cfRule type="cellIs" dxfId="177" priority="199" stopIfTrue="1" operator="between">
      <formula>"NB"</formula>
      <formula>"NB^"</formula>
    </cfRule>
  </conditionalFormatting>
  <conditionalFormatting sqref="M18:O27 P18:P21 M6:P7 M30:P33 P27">
    <cfRule type="cellIs" dxfId="176" priority="193" stopIfTrue="1" operator="equal">
      <formula>"B"</formula>
    </cfRule>
    <cfRule type="cellIs" dxfId="175" priority="194" stopIfTrue="1" operator="equal">
      <formula>"M"</formula>
    </cfRule>
    <cfRule type="cellIs" dxfId="174" priority="195" stopIfTrue="1" operator="between">
      <formula>"NB"</formula>
      <formula>"NB^"</formula>
    </cfRule>
  </conditionalFormatting>
  <conditionalFormatting sqref="M28:P29">
    <cfRule type="cellIs" dxfId="173" priority="196" stopIfTrue="1" operator="equal">
      <formula>0</formula>
    </cfRule>
  </conditionalFormatting>
  <conditionalFormatting sqref="M15:P17">
    <cfRule type="cellIs" dxfId="172" priority="190" stopIfTrue="1" operator="equal">
      <formula>"B"</formula>
    </cfRule>
    <cfRule type="cellIs" dxfId="171" priority="191" stopIfTrue="1" operator="equal">
      <formula>"M"</formula>
    </cfRule>
    <cfRule type="cellIs" dxfId="170" priority="192" stopIfTrue="1" operator="between">
      <formula>"NB"</formula>
      <formula>"NB^"</formula>
    </cfRule>
  </conditionalFormatting>
  <conditionalFormatting sqref="M34:P34">
    <cfRule type="cellIs" dxfId="169" priority="184" stopIfTrue="1" operator="equal">
      <formula>"B"</formula>
    </cfRule>
    <cfRule type="cellIs" dxfId="168" priority="185" stopIfTrue="1" operator="equal">
      <formula>"M"</formula>
    </cfRule>
    <cfRule type="cellIs" dxfId="167" priority="186" stopIfTrue="1" operator="between">
      <formula>"NB"</formula>
      <formula>"NB^"</formula>
    </cfRule>
  </conditionalFormatting>
  <conditionalFormatting sqref="M35:P35">
    <cfRule type="cellIs" dxfId="166" priority="181" stopIfTrue="1" operator="equal">
      <formula>"B"</formula>
    </cfRule>
    <cfRule type="cellIs" dxfId="165" priority="182" stopIfTrue="1" operator="equal">
      <formula>"M"</formula>
    </cfRule>
    <cfRule type="cellIs" dxfId="164" priority="183" stopIfTrue="1" operator="between">
      <formula>"NB"</formula>
      <formula>"NB^"</formula>
    </cfRule>
  </conditionalFormatting>
  <conditionalFormatting sqref="P25:P26">
    <cfRule type="cellIs" dxfId="163" priority="174" stopIfTrue="1" operator="equal">
      <formula>"B"</formula>
    </cfRule>
    <cfRule type="cellIs" dxfId="162" priority="175" stopIfTrue="1" operator="equal">
      <formula>"M"</formula>
    </cfRule>
    <cfRule type="cellIs" dxfId="161" priority="176" stopIfTrue="1" operator="between">
      <formula>"NB"</formula>
      <formula>"NB^"</formula>
    </cfRule>
  </conditionalFormatting>
  <conditionalFormatting sqref="E9:I14">
    <cfRule type="cellIs" dxfId="160" priority="159" stopIfTrue="1" operator="equal">
      <formula>"B"</formula>
    </cfRule>
    <cfRule type="cellIs" dxfId="159" priority="160" stopIfTrue="1" operator="equal">
      <formula>"M"</formula>
    </cfRule>
    <cfRule type="cellIs" dxfId="158" priority="161" stopIfTrue="1" operator="between">
      <formula>"NB"</formula>
      <formula>"NB^"</formula>
    </cfRule>
  </conditionalFormatting>
  <conditionalFormatting sqref="E18:G27 E6:I7 H18:I21 E30:I33 H23:I27">
    <cfRule type="cellIs" dxfId="157" priority="155" stopIfTrue="1" operator="equal">
      <formula>"B"</formula>
    </cfRule>
    <cfRule type="cellIs" dxfId="156" priority="156" stopIfTrue="1" operator="equal">
      <formula>"M"</formula>
    </cfRule>
    <cfRule type="cellIs" dxfId="155" priority="157" stopIfTrue="1" operator="between">
      <formula>"NB"</formula>
      <formula>"NB^"</formula>
    </cfRule>
  </conditionalFormatting>
  <conditionalFormatting sqref="E28:I29">
    <cfRule type="cellIs" dxfId="154" priority="158" stopIfTrue="1" operator="equal">
      <formula>0</formula>
    </cfRule>
  </conditionalFormatting>
  <conditionalFormatting sqref="E15:I17">
    <cfRule type="cellIs" dxfId="153" priority="152" stopIfTrue="1" operator="equal">
      <formula>"B"</formula>
    </cfRule>
    <cfRule type="cellIs" dxfId="152" priority="153" stopIfTrue="1" operator="equal">
      <formula>"M"</formula>
    </cfRule>
    <cfRule type="cellIs" dxfId="151" priority="154" stopIfTrue="1" operator="between">
      <formula>"NB"</formula>
      <formula>"NB^"</formula>
    </cfRule>
  </conditionalFormatting>
  <conditionalFormatting sqref="E8:H8">
    <cfRule type="cellIs" dxfId="150" priority="149" stopIfTrue="1" operator="equal">
      <formula>"B"</formula>
    </cfRule>
    <cfRule type="cellIs" dxfId="149" priority="150" stopIfTrue="1" operator="equal">
      <formula>"M"</formula>
    </cfRule>
    <cfRule type="cellIs" dxfId="148" priority="151" stopIfTrue="1" operator="between">
      <formula>"NB"</formula>
      <formula>"NB^"</formula>
    </cfRule>
  </conditionalFormatting>
  <conditionalFormatting sqref="E34:I34">
    <cfRule type="cellIs" dxfId="147" priority="146" stopIfTrue="1" operator="equal">
      <formula>"B"</formula>
    </cfRule>
    <cfRule type="cellIs" dxfId="146" priority="147" stopIfTrue="1" operator="equal">
      <formula>"M"</formula>
    </cfRule>
    <cfRule type="cellIs" dxfId="145" priority="148" stopIfTrue="1" operator="between">
      <formula>"NB"</formula>
      <formula>"NB^"</formula>
    </cfRule>
  </conditionalFormatting>
  <conditionalFormatting sqref="E35:I35">
    <cfRule type="cellIs" dxfId="144" priority="143" stopIfTrue="1" operator="equal">
      <formula>"B"</formula>
    </cfRule>
    <cfRule type="cellIs" dxfId="143" priority="144" stopIfTrue="1" operator="equal">
      <formula>"M"</formula>
    </cfRule>
    <cfRule type="cellIs" dxfId="142" priority="145" stopIfTrue="1" operator="between">
      <formula>"NB"</formula>
      <formula>"NB^"</formula>
    </cfRule>
  </conditionalFormatting>
  <conditionalFormatting sqref="J8">
    <cfRule type="cellIs" dxfId="141" priority="140" stopIfTrue="1" operator="equal">
      <formula>"B"</formula>
    </cfRule>
    <cfRule type="cellIs" dxfId="140" priority="141" stopIfTrue="1" operator="equal">
      <formula>"M"</formula>
    </cfRule>
    <cfRule type="cellIs" dxfId="139" priority="142" stopIfTrue="1" operator="between">
      <formula>"NB"</formula>
      <formula>"NB^"</formula>
    </cfRule>
  </conditionalFormatting>
  <conditionalFormatting sqref="J22">
    <cfRule type="cellIs" dxfId="138" priority="137" stopIfTrue="1" operator="equal">
      <formula>"B"</formula>
    </cfRule>
    <cfRule type="cellIs" dxfId="137" priority="138" stopIfTrue="1" operator="equal">
      <formula>"M"</formula>
    </cfRule>
    <cfRule type="cellIs" dxfId="136" priority="139" stopIfTrue="1" operator="between">
      <formula>"NB"</formula>
      <formula>"NB^"</formula>
    </cfRule>
  </conditionalFormatting>
  <conditionalFormatting sqref="J9:J14">
    <cfRule type="cellIs" dxfId="135" priority="134" stopIfTrue="1" operator="equal">
      <formula>"B"</formula>
    </cfRule>
    <cfRule type="cellIs" dxfId="134" priority="135" stopIfTrue="1" operator="equal">
      <formula>"M"</formula>
    </cfRule>
    <cfRule type="cellIs" dxfId="133" priority="136" stopIfTrue="1" operator="between">
      <formula>"NB"</formula>
      <formula>"NB^"</formula>
    </cfRule>
  </conditionalFormatting>
  <conditionalFormatting sqref="J6:J7 J18:J21 J30:J33 J23:J27 K27:L27">
    <cfRule type="cellIs" dxfId="132" priority="130" stopIfTrue="1" operator="equal">
      <formula>"B"</formula>
    </cfRule>
    <cfRule type="cellIs" dxfId="131" priority="131" stopIfTrue="1" operator="equal">
      <formula>"M"</formula>
    </cfRule>
    <cfRule type="cellIs" dxfId="130" priority="132" stopIfTrue="1" operator="between">
      <formula>"NB"</formula>
      <formula>"NB^"</formula>
    </cfRule>
  </conditionalFormatting>
  <conditionalFormatting sqref="J28:J29">
    <cfRule type="cellIs" dxfId="129" priority="133" stopIfTrue="1" operator="equal">
      <formula>0</formula>
    </cfRule>
  </conditionalFormatting>
  <conditionalFormatting sqref="J15:J17">
    <cfRule type="cellIs" dxfId="128" priority="127" stopIfTrue="1" operator="equal">
      <formula>"B"</formula>
    </cfRule>
    <cfRule type="cellIs" dxfId="127" priority="128" stopIfTrue="1" operator="equal">
      <formula>"M"</formula>
    </cfRule>
    <cfRule type="cellIs" dxfId="126" priority="129" stopIfTrue="1" operator="between">
      <formula>"NB"</formula>
      <formula>"NB^"</formula>
    </cfRule>
  </conditionalFormatting>
  <conditionalFormatting sqref="J34">
    <cfRule type="cellIs" dxfId="125" priority="124" stopIfTrue="1" operator="equal">
      <formula>"B"</formula>
    </cfRule>
    <cfRule type="cellIs" dxfId="124" priority="125" stopIfTrue="1" operator="equal">
      <formula>"M"</formula>
    </cfRule>
    <cfRule type="cellIs" dxfId="123" priority="126" stopIfTrue="1" operator="between">
      <formula>"NB"</formula>
      <formula>"NB^"</formula>
    </cfRule>
  </conditionalFormatting>
  <conditionalFormatting sqref="J35">
    <cfRule type="cellIs" dxfId="122" priority="121" stopIfTrue="1" operator="equal">
      <formula>"B"</formula>
    </cfRule>
    <cfRule type="cellIs" dxfId="121" priority="122" stopIfTrue="1" operator="equal">
      <formula>"M"</formula>
    </cfRule>
    <cfRule type="cellIs" dxfId="120" priority="123" stopIfTrue="1" operator="between">
      <formula>"NB"</formula>
      <formula>"NB^"</formula>
    </cfRule>
  </conditionalFormatting>
  <conditionalFormatting sqref="K8">
    <cfRule type="cellIs" dxfId="119" priority="118" stopIfTrue="1" operator="equal">
      <formula>"B"</formula>
    </cfRule>
    <cfRule type="cellIs" dxfId="118" priority="119" stopIfTrue="1" operator="equal">
      <formula>"M"</formula>
    </cfRule>
    <cfRule type="cellIs" dxfId="117" priority="120" stopIfTrue="1" operator="between">
      <formula>"NB"</formula>
      <formula>"NB^"</formula>
    </cfRule>
  </conditionalFormatting>
  <conditionalFormatting sqref="K22">
    <cfRule type="cellIs" dxfId="116" priority="115" stopIfTrue="1" operator="equal">
      <formula>"B"</formula>
    </cfRule>
    <cfRule type="cellIs" dxfId="115" priority="116" stopIfTrue="1" operator="equal">
      <formula>"M"</formula>
    </cfRule>
    <cfRule type="cellIs" dxfId="114" priority="117" stopIfTrue="1" operator="between">
      <formula>"NB"</formula>
      <formula>"NB^"</formula>
    </cfRule>
  </conditionalFormatting>
  <conditionalFormatting sqref="K9:K14">
    <cfRule type="cellIs" dxfId="113" priority="112" stopIfTrue="1" operator="equal">
      <formula>"B"</formula>
    </cfRule>
    <cfRule type="cellIs" dxfId="112" priority="113" stopIfTrue="1" operator="equal">
      <formula>"M"</formula>
    </cfRule>
    <cfRule type="cellIs" dxfId="111" priority="114" stopIfTrue="1" operator="between">
      <formula>"NB"</formula>
      <formula>"NB^"</formula>
    </cfRule>
  </conditionalFormatting>
  <conditionalFormatting sqref="K6:K7 K18:K21 K23:K24">
    <cfRule type="cellIs" dxfId="110" priority="109" stopIfTrue="1" operator="equal">
      <formula>"B"</formula>
    </cfRule>
    <cfRule type="cellIs" dxfId="109" priority="110" stopIfTrue="1" operator="equal">
      <formula>"M"</formula>
    </cfRule>
    <cfRule type="cellIs" dxfId="108" priority="111" stopIfTrue="1" operator="between">
      <formula>"NB"</formula>
      <formula>"NB^"</formula>
    </cfRule>
  </conditionalFormatting>
  <conditionalFormatting sqref="K15:K17">
    <cfRule type="cellIs" dxfId="107" priority="106" stopIfTrue="1" operator="equal">
      <formula>"B"</formula>
    </cfRule>
    <cfRule type="cellIs" dxfId="106" priority="107" stopIfTrue="1" operator="equal">
      <formula>"M"</formula>
    </cfRule>
    <cfRule type="cellIs" dxfId="105" priority="108" stopIfTrue="1" operator="between">
      <formula>"NB"</formula>
      <formula>"NB^"</formula>
    </cfRule>
  </conditionalFormatting>
  <conditionalFormatting sqref="L8">
    <cfRule type="cellIs" dxfId="104" priority="103" stopIfTrue="1" operator="equal">
      <formula>"B"</formula>
    </cfRule>
    <cfRule type="cellIs" dxfId="103" priority="104" stopIfTrue="1" operator="equal">
      <formula>"M"</formula>
    </cfRule>
    <cfRule type="cellIs" dxfId="102" priority="105" stopIfTrue="1" operator="between">
      <formula>"NB"</formula>
      <formula>"NB^"</formula>
    </cfRule>
  </conditionalFormatting>
  <conditionalFormatting sqref="L22">
    <cfRule type="cellIs" dxfId="101" priority="100" stopIfTrue="1" operator="equal">
      <formula>"B"</formula>
    </cfRule>
    <cfRule type="cellIs" dxfId="100" priority="101" stopIfTrue="1" operator="equal">
      <formula>"M"</formula>
    </cfRule>
    <cfRule type="cellIs" dxfId="99" priority="102" stopIfTrue="1" operator="between">
      <formula>"NB"</formula>
      <formula>"NB^"</formula>
    </cfRule>
  </conditionalFormatting>
  <conditionalFormatting sqref="L9:L14">
    <cfRule type="cellIs" dxfId="98" priority="97" stopIfTrue="1" operator="equal">
      <formula>"B"</formula>
    </cfRule>
    <cfRule type="cellIs" dxfId="97" priority="98" stopIfTrue="1" operator="equal">
      <formula>"M"</formula>
    </cfRule>
    <cfRule type="cellIs" dxfId="96" priority="99" stopIfTrue="1" operator="between">
      <formula>"NB"</formula>
      <formula>"NB^"</formula>
    </cfRule>
  </conditionalFormatting>
  <conditionalFormatting sqref="L6:L7 L18:L21 L23:L24">
    <cfRule type="cellIs" dxfId="95" priority="94" stopIfTrue="1" operator="equal">
      <formula>"B"</formula>
    </cfRule>
    <cfRule type="cellIs" dxfId="94" priority="95" stopIfTrue="1" operator="equal">
      <formula>"M"</formula>
    </cfRule>
    <cfRule type="cellIs" dxfId="93" priority="96" stopIfTrue="1" operator="between">
      <formula>"NB"</formula>
      <formula>"NB^"</formula>
    </cfRule>
  </conditionalFormatting>
  <conditionalFormatting sqref="L15:L17">
    <cfRule type="cellIs" dxfId="92" priority="91" stopIfTrue="1" operator="equal">
      <formula>"B"</formula>
    </cfRule>
    <cfRule type="cellIs" dxfId="91" priority="92" stopIfTrue="1" operator="equal">
      <formula>"M"</formula>
    </cfRule>
    <cfRule type="cellIs" dxfId="90" priority="93" stopIfTrue="1" operator="between">
      <formula>"NB"</formula>
      <formula>"NB^"</formula>
    </cfRule>
  </conditionalFormatting>
  <conditionalFormatting sqref="Q22">
    <cfRule type="cellIs" dxfId="89" priority="88" stopIfTrue="1" operator="equal">
      <formula>"B"</formula>
    </cfRule>
    <cfRule type="cellIs" dxfId="88" priority="89" stopIfTrue="1" operator="equal">
      <formula>"M"</formula>
    </cfRule>
    <cfRule type="cellIs" dxfId="87" priority="90" stopIfTrue="1" operator="between">
      <formula>"NB"</formula>
      <formula>"NB^"</formula>
    </cfRule>
  </conditionalFormatting>
  <conditionalFormatting sqref="Q8">
    <cfRule type="cellIs" dxfId="86" priority="85" stopIfTrue="1" operator="equal">
      <formula>"B"</formula>
    </cfRule>
    <cfRule type="cellIs" dxfId="85" priority="86" stopIfTrue="1" operator="equal">
      <formula>"M"</formula>
    </cfRule>
    <cfRule type="cellIs" dxfId="84" priority="87" stopIfTrue="1" operator="between">
      <formula>"NB"</formula>
      <formula>"NB^"</formula>
    </cfRule>
  </conditionalFormatting>
  <conditionalFormatting sqref="Q9:Q14">
    <cfRule type="cellIs" dxfId="83" priority="82" stopIfTrue="1" operator="equal">
      <formula>"B"</formula>
    </cfRule>
    <cfRule type="cellIs" dxfId="82" priority="83" stopIfTrue="1" operator="equal">
      <formula>"M"</formula>
    </cfRule>
    <cfRule type="cellIs" dxfId="81" priority="84" stopIfTrue="1" operator="between">
      <formula>"NB"</formula>
      <formula>"NB^"</formula>
    </cfRule>
  </conditionalFormatting>
  <conditionalFormatting sqref="Q18:Q21 Q6:Q7">
    <cfRule type="cellIs" dxfId="80" priority="79" stopIfTrue="1" operator="equal">
      <formula>"B"</formula>
    </cfRule>
    <cfRule type="cellIs" dxfId="79" priority="80" stopIfTrue="1" operator="equal">
      <formula>"M"</formula>
    </cfRule>
    <cfRule type="cellIs" dxfId="78" priority="81" stopIfTrue="1" operator="between">
      <formula>"NB"</formula>
      <formula>"NB^"</formula>
    </cfRule>
  </conditionalFormatting>
  <conditionalFormatting sqref="Q15:Q17">
    <cfRule type="cellIs" dxfId="77" priority="76" stopIfTrue="1" operator="equal">
      <formula>"B"</formula>
    </cfRule>
    <cfRule type="cellIs" dxfId="76" priority="77" stopIfTrue="1" operator="equal">
      <formula>"M"</formula>
    </cfRule>
    <cfRule type="cellIs" dxfId="75" priority="78" stopIfTrue="1" operator="between">
      <formula>"NB"</formula>
      <formula>"NB^"</formula>
    </cfRule>
  </conditionalFormatting>
  <conditionalFormatting sqref="Q30:Q33 Q27">
    <cfRule type="cellIs" dxfId="74" priority="72" stopIfTrue="1" operator="equal">
      <formula>"B"</formula>
    </cfRule>
    <cfRule type="cellIs" dxfId="73" priority="73" stopIfTrue="1" operator="equal">
      <formula>"M"</formula>
    </cfRule>
    <cfRule type="cellIs" dxfId="72" priority="74" stopIfTrue="1" operator="between">
      <formula>"NB"</formula>
      <formula>"NB^"</formula>
    </cfRule>
  </conditionalFormatting>
  <conditionalFormatting sqref="Q28:Q29">
    <cfRule type="cellIs" dxfId="71" priority="75" stopIfTrue="1" operator="equal">
      <formula>0</formula>
    </cfRule>
  </conditionalFormatting>
  <conditionalFormatting sqref="Q34">
    <cfRule type="cellIs" dxfId="70" priority="69" stopIfTrue="1" operator="equal">
      <formula>"B"</formula>
    </cfRule>
    <cfRule type="cellIs" dxfId="69" priority="70" stopIfTrue="1" operator="equal">
      <formula>"M"</formula>
    </cfRule>
    <cfRule type="cellIs" dxfId="68" priority="71" stopIfTrue="1" operator="between">
      <formula>"NB"</formula>
      <formula>"NB^"</formula>
    </cfRule>
  </conditionalFormatting>
  <conditionalFormatting sqref="Q35">
    <cfRule type="cellIs" dxfId="67" priority="66" stopIfTrue="1" operator="equal">
      <formula>"B"</formula>
    </cfRule>
    <cfRule type="cellIs" dxfId="66" priority="67" stopIfTrue="1" operator="equal">
      <formula>"M"</formula>
    </cfRule>
    <cfRule type="cellIs" dxfId="65" priority="68" stopIfTrue="1" operator="between">
      <formula>"NB"</formula>
      <formula>"NB^"</formula>
    </cfRule>
  </conditionalFormatting>
  <conditionalFormatting sqref="R23:R26">
    <cfRule type="cellIs" dxfId="64" priority="63" stopIfTrue="1" operator="equal">
      <formula>"B"</formula>
    </cfRule>
    <cfRule type="cellIs" dxfId="63" priority="64" stopIfTrue="1" operator="equal">
      <formula>"M"</formula>
    </cfRule>
    <cfRule type="cellIs" dxfId="62" priority="65" stopIfTrue="1" operator="between">
      <formula>"NB"</formula>
      <formula>"NB^"</formula>
    </cfRule>
  </conditionalFormatting>
  <conditionalFormatting sqref="R22">
    <cfRule type="cellIs" dxfId="61" priority="60" stopIfTrue="1" operator="equal">
      <formula>"B"</formula>
    </cfRule>
    <cfRule type="cellIs" dxfId="60" priority="61" stopIfTrue="1" operator="equal">
      <formula>"M"</formula>
    </cfRule>
    <cfRule type="cellIs" dxfId="59" priority="62" stopIfTrue="1" operator="between">
      <formula>"NB"</formula>
      <formula>"NB^"</formula>
    </cfRule>
  </conditionalFormatting>
  <conditionalFormatting sqref="R8">
    <cfRule type="cellIs" dxfId="58" priority="57" stopIfTrue="1" operator="equal">
      <formula>"B"</formula>
    </cfRule>
    <cfRule type="cellIs" dxfId="57" priority="58" stopIfTrue="1" operator="equal">
      <formula>"M"</formula>
    </cfRule>
    <cfRule type="cellIs" dxfId="56" priority="59" stopIfTrue="1" operator="between">
      <formula>"NB"</formula>
      <formula>"NB^"</formula>
    </cfRule>
  </conditionalFormatting>
  <conditionalFormatting sqref="R9:R14">
    <cfRule type="cellIs" dxfId="55" priority="54" stopIfTrue="1" operator="equal">
      <formula>"B"</formula>
    </cfRule>
    <cfRule type="cellIs" dxfId="54" priority="55" stopIfTrue="1" operator="equal">
      <formula>"M"</formula>
    </cfRule>
    <cfRule type="cellIs" dxfId="53" priority="56" stopIfTrue="1" operator="between">
      <formula>"NB"</formula>
      <formula>"NB^"</formula>
    </cfRule>
  </conditionalFormatting>
  <conditionalFormatting sqref="R18:R21 R6:R7">
    <cfRule type="cellIs" dxfId="52" priority="51" stopIfTrue="1" operator="equal">
      <formula>"B"</formula>
    </cfRule>
    <cfRule type="cellIs" dxfId="51" priority="52" stopIfTrue="1" operator="equal">
      <formula>"M"</formula>
    </cfRule>
    <cfRule type="cellIs" dxfId="50" priority="53" stopIfTrue="1" operator="between">
      <formula>"NB"</formula>
      <formula>"NB^"</formula>
    </cfRule>
  </conditionalFormatting>
  <conditionalFormatting sqref="R15:R17">
    <cfRule type="cellIs" dxfId="49" priority="48" stopIfTrue="1" operator="equal">
      <formula>"B"</formula>
    </cfRule>
    <cfRule type="cellIs" dxfId="48" priority="49" stopIfTrue="1" operator="equal">
      <formula>"M"</formula>
    </cfRule>
    <cfRule type="cellIs" dxfId="47" priority="50" stopIfTrue="1" operator="between">
      <formula>"NB"</formula>
      <formula>"NB^"</formula>
    </cfRule>
  </conditionalFormatting>
  <conditionalFormatting sqref="R30:R33 R27">
    <cfRule type="cellIs" dxfId="46" priority="44" stopIfTrue="1" operator="equal">
      <formula>"B"</formula>
    </cfRule>
    <cfRule type="cellIs" dxfId="45" priority="45" stopIfTrue="1" operator="equal">
      <formula>"M"</formula>
    </cfRule>
    <cfRule type="cellIs" dxfId="44" priority="46" stopIfTrue="1" operator="between">
      <formula>"NB"</formula>
      <formula>"NB^"</formula>
    </cfRule>
  </conditionalFormatting>
  <conditionalFormatting sqref="R28:R29">
    <cfRule type="cellIs" dxfId="43" priority="47" stopIfTrue="1" operator="equal">
      <formula>0</formula>
    </cfRule>
  </conditionalFormatting>
  <conditionalFormatting sqref="R34">
    <cfRule type="cellIs" dxfId="42" priority="41" stopIfTrue="1" operator="equal">
      <formula>"B"</formula>
    </cfRule>
    <cfRule type="cellIs" dxfId="41" priority="42" stopIfTrue="1" operator="equal">
      <formula>"M"</formula>
    </cfRule>
    <cfRule type="cellIs" dxfId="40" priority="43" stopIfTrue="1" operator="between">
      <formula>"NB"</formula>
      <formula>"NB^"</formula>
    </cfRule>
  </conditionalFormatting>
  <conditionalFormatting sqref="R35">
    <cfRule type="cellIs" dxfId="39" priority="38" stopIfTrue="1" operator="equal">
      <formula>"B"</formula>
    </cfRule>
    <cfRule type="cellIs" dxfId="38" priority="39" stopIfTrue="1" operator="equal">
      <formula>"M"</formula>
    </cfRule>
    <cfRule type="cellIs" dxfId="37" priority="40" stopIfTrue="1" operator="between">
      <formula>"NB"</formula>
      <formula>"NB^"</formula>
    </cfRule>
  </conditionalFormatting>
  <conditionalFormatting sqref="S23:S26">
    <cfRule type="cellIs" dxfId="36" priority="35" stopIfTrue="1" operator="equal">
      <formula>"B"</formula>
    </cfRule>
    <cfRule type="cellIs" dxfId="35" priority="36" stopIfTrue="1" operator="equal">
      <formula>"M"</formula>
    </cfRule>
    <cfRule type="cellIs" dxfId="34" priority="37" stopIfTrue="1" operator="between">
      <formula>"NB"</formula>
      <formula>"NB^"</formula>
    </cfRule>
  </conditionalFormatting>
  <conditionalFormatting sqref="S22">
    <cfRule type="cellIs" dxfId="33" priority="32" stopIfTrue="1" operator="equal">
      <formula>"B"</formula>
    </cfRule>
    <cfRule type="cellIs" dxfId="32" priority="33" stopIfTrue="1" operator="equal">
      <formula>"M"</formula>
    </cfRule>
    <cfRule type="cellIs" dxfId="31" priority="34" stopIfTrue="1" operator="between">
      <formula>"NB"</formula>
      <formula>"NB^"</formula>
    </cfRule>
  </conditionalFormatting>
  <conditionalFormatting sqref="S8">
    <cfRule type="cellIs" dxfId="30" priority="29" stopIfTrue="1" operator="equal">
      <formula>"B"</formula>
    </cfRule>
    <cfRule type="cellIs" dxfId="29" priority="30" stopIfTrue="1" operator="equal">
      <formula>"M"</formula>
    </cfRule>
    <cfRule type="cellIs" dxfId="28" priority="31" stopIfTrue="1" operator="between">
      <formula>"NB"</formula>
      <formula>"NB^"</formula>
    </cfRule>
  </conditionalFormatting>
  <conditionalFormatting sqref="S9:S14">
    <cfRule type="cellIs" dxfId="27" priority="26" stopIfTrue="1" operator="equal">
      <formula>"B"</formula>
    </cfRule>
    <cfRule type="cellIs" dxfId="26" priority="27" stopIfTrue="1" operator="equal">
      <formula>"M"</formula>
    </cfRule>
    <cfRule type="cellIs" dxfId="25" priority="28" stopIfTrue="1" operator="between">
      <formula>"NB"</formula>
      <formula>"NB^"</formula>
    </cfRule>
  </conditionalFormatting>
  <conditionalFormatting sqref="S18:S21 S6:S7">
    <cfRule type="cellIs" dxfId="24" priority="23" stopIfTrue="1" operator="equal">
      <formula>"B"</formula>
    </cfRule>
    <cfRule type="cellIs" dxfId="23" priority="24" stopIfTrue="1" operator="equal">
      <formula>"M"</formula>
    </cfRule>
    <cfRule type="cellIs" dxfId="22" priority="25" stopIfTrue="1" operator="between">
      <formula>"NB"</formula>
      <formula>"NB^"</formula>
    </cfRule>
  </conditionalFormatting>
  <conditionalFormatting sqref="S15:S17">
    <cfRule type="cellIs" dxfId="21" priority="20" stopIfTrue="1" operator="equal">
      <formula>"B"</formula>
    </cfRule>
    <cfRule type="cellIs" dxfId="20" priority="21" stopIfTrue="1" operator="equal">
      <formula>"M"</formula>
    </cfRule>
    <cfRule type="cellIs" dxfId="19" priority="22" stopIfTrue="1" operator="between">
      <formula>"NB"</formula>
      <formula>"NB^"</formula>
    </cfRule>
  </conditionalFormatting>
  <conditionalFormatting sqref="S30:S33 S27">
    <cfRule type="cellIs" dxfId="18" priority="16" stopIfTrue="1" operator="equal">
      <formula>"B"</formula>
    </cfRule>
    <cfRule type="cellIs" dxfId="17" priority="17" stopIfTrue="1" operator="equal">
      <formula>"M"</formula>
    </cfRule>
    <cfRule type="cellIs" dxfId="16" priority="18" stopIfTrue="1" operator="between">
      <formula>"NB"</formula>
      <formula>"NB^"</formula>
    </cfRule>
  </conditionalFormatting>
  <conditionalFormatting sqref="S28:S29">
    <cfRule type="cellIs" dxfId="15" priority="19" stopIfTrue="1" operator="equal">
      <formula>0</formula>
    </cfRule>
  </conditionalFormatting>
  <conditionalFormatting sqref="S34">
    <cfRule type="cellIs" dxfId="14" priority="13" stopIfTrue="1" operator="equal">
      <formula>"B"</formula>
    </cfRule>
    <cfRule type="cellIs" dxfId="13" priority="14" stopIfTrue="1" operator="equal">
      <formula>"M"</formula>
    </cfRule>
    <cfRule type="cellIs" dxfId="12" priority="15" stopIfTrue="1" operator="between">
      <formula>"NB"</formula>
      <formula>"NB^"</formula>
    </cfRule>
  </conditionalFormatting>
  <conditionalFormatting sqref="S35">
    <cfRule type="cellIs" dxfId="11" priority="10" stopIfTrue="1" operator="equal">
      <formula>"B"</formula>
    </cfRule>
    <cfRule type="cellIs" dxfId="10" priority="11" stopIfTrue="1" operator="equal">
      <formula>"M"</formula>
    </cfRule>
    <cfRule type="cellIs" dxfId="9" priority="12" stopIfTrue="1" operator="between">
      <formula>"NB"</formula>
      <formula>"NB^"</formula>
    </cfRule>
  </conditionalFormatting>
  <conditionalFormatting sqref="AG22:AH26">
    <cfRule type="cellIs" dxfId="8" priority="1" stopIfTrue="1" operator="equal">
      <formula>"B"</formula>
    </cfRule>
    <cfRule type="cellIs" dxfId="7" priority="2" stopIfTrue="1" operator="equal">
      <formula>"M"</formula>
    </cfRule>
    <cfRule type="cellIs" dxfId="6" priority="3" stopIfTrue="1" operator="between">
      <formula>"NB"</formula>
      <formula>"NB^"</formula>
    </cfRule>
  </conditionalFormatting>
  <conditionalFormatting sqref="AG15:AH17">
    <cfRule type="cellIs" dxfId="5" priority="7" stopIfTrue="1" operator="equal">
      <formula>"B"</formula>
    </cfRule>
    <cfRule type="cellIs" dxfId="4" priority="8" stopIfTrue="1" operator="equal">
      <formula>"M"</formula>
    </cfRule>
    <cfRule type="cellIs" dxfId="3" priority="9" stopIfTrue="1" operator="between">
      <formula>"NB"</formula>
      <formula>"NB^"</formula>
    </cfRule>
  </conditionalFormatting>
  <conditionalFormatting sqref="AG18:AH21">
    <cfRule type="cellIs" dxfId="2" priority="4" stopIfTrue="1" operator="equal">
      <formula>"B"</formula>
    </cfRule>
    <cfRule type="cellIs" dxfId="1" priority="5" stopIfTrue="1" operator="equal">
      <formula>"M"</formula>
    </cfRule>
    <cfRule type="cellIs" dxfId="0" priority="6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B9ABF1FBDD4459097CABDA9EFDF69" ma:contentTypeVersion="14" ma:contentTypeDescription="Create a new document." ma:contentTypeScope="" ma:versionID="76a1a51dfce5fbc47b66612ed4a89103">
  <xsd:schema xmlns:xsd="http://www.w3.org/2001/XMLSchema" xmlns:xs="http://www.w3.org/2001/XMLSchema" xmlns:p="http://schemas.microsoft.com/office/2006/metadata/properties" xmlns:ns2="2d5042a8-484b-4992-8f9f-9e9535c892a6" xmlns:ns3="5f0084e0-cc01-4204-a452-6df7e8bad642" targetNamespace="http://schemas.microsoft.com/office/2006/metadata/properties" ma:root="true" ma:fieldsID="fc9f45ee8324f3f8414a8b7271e2d481" ns2:_="" ns3:_="">
    <xsd:import namespace="2d5042a8-484b-4992-8f9f-9e9535c892a6"/>
    <xsd:import namespace="5f0084e0-cc01-4204-a452-6df7e8bad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042a8-484b-4992-8f9f-9e9535c8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084e0-cc01-4204-a452-6df7e8bad64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042a8-484b-4992-8f9f-9e9535c892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5549FD-3EF8-403A-AEAF-210A2B5E924F}"/>
</file>

<file path=customXml/itemProps2.xml><?xml version="1.0" encoding="utf-8"?>
<ds:datastoreItem xmlns:ds="http://schemas.openxmlformats.org/officeDocument/2006/customXml" ds:itemID="{FCD740CA-85A8-4D0B-A85A-D8E3A6852EB3}"/>
</file>

<file path=customXml/itemProps3.xml><?xml version="1.0" encoding="utf-8"?>
<ds:datastoreItem xmlns:ds="http://schemas.openxmlformats.org/officeDocument/2006/customXml" ds:itemID="{4F0E3CB8-2803-4CB2-88D7-5960A6496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carb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armet1</dc:creator>
  <cp:lastModifiedBy>Lancero, Jeff@ARB</cp:lastModifiedBy>
  <dcterms:created xsi:type="dcterms:W3CDTF">2014-12-06T16:58:35Z</dcterms:created>
  <dcterms:modified xsi:type="dcterms:W3CDTF">2023-04-26T21:27:53Z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0x01010007FB9ABF1FBDD4459097CABDA9EFDF69</vt:lpwstr>
  </property>
</Properties>
</file>