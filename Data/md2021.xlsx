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W:\Duty Desk\Duty Desk Spreadsheets\Historical Burn Data\"/>
    </mc:Choice>
  </mc:AlternateContent>
  <xr:revisionPtr revIDLastSave="0" documentId="13_ncr:1_{45DABF63-FF83-4465-B436-A30AA22EAC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an" sheetId="1" r:id="rId1"/>
    <sheet name="Feb" sheetId="2" r:id="rId2"/>
    <sheet name="March" sheetId="4" r:id="rId3"/>
    <sheet name="April" sheetId="5" r:id="rId4"/>
    <sheet name="May" sheetId="8" r:id="rId5"/>
    <sheet name="Jun" sheetId="9" r:id="rId6"/>
    <sheet name="Jul" sheetId="10" r:id="rId7"/>
    <sheet name="Aug" sheetId="11" r:id="rId8"/>
    <sheet name="Sep" sheetId="13" r:id="rId9"/>
    <sheet name="Oct" sheetId="15" r:id="rId10"/>
    <sheet name="Nov" sheetId="16" r:id="rId11"/>
    <sheet name="Dec" sheetId="17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6" i="8" l="1"/>
  <c r="AH8" i="9" l="1"/>
  <c r="AH8" i="13"/>
  <c r="AH8" i="16"/>
  <c r="Z38" i="8" l="1"/>
  <c r="AD39" i="2" l="1"/>
  <c r="AE39" i="2"/>
  <c r="AF39" i="2"/>
  <c r="AG39" i="2"/>
  <c r="AH39" i="2"/>
  <c r="AG50" i="2"/>
  <c r="AD38" i="2"/>
  <c r="AE38" i="2"/>
  <c r="AF38" i="2"/>
  <c r="AG38" i="2"/>
  <c r="AH38" i="2"/>
  <c r="AI35" i="2"/>
  <c r="AI34" i="2"/>
  <c r="AI33" i="2"/>
  <c r="AI32" i="2"/>
  <c r="AI31" i="2"/>
  <c r="AI30" i="2"/>
  <c r="AI29" i="2"/>
  <c r="AI28" i="2"/>
  <c r="AI27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" i="2"/>
  <c r="AI7" i="2"/>
  <c r="AI6" i="2"/>
  <c r="AD39" i="1"/>
  <c r="AE39" i="1"/>
  <c r="AF39" i="1"/>
  <c r="AG39" i="1"/>
  <c r="AH39" i="1"/>
  <c r="AG50" i="1"/>
  <c r="AD38" i="1"/>
  <c r="AE38" i="1"/>
  <c r="AF38" i="1"/>
  <c r="AG38" i="1"/>
  <c r="AH38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H34" i="5"/>
  <c r="AH35" i="5"/>
  <c r="AI34" i="4"/>
  <c r="AI22" i="8"/>
  <c r="AH35" i="16"/>
  <c r="AH34" i="16"/>
  <c r="AI35" i="17"/>
  <c r="AI34" i="17"/>
  <c r="AI35" i="15"/>
  <c r="AI34" i="15"/>
  <c r="AH35" i="13"/>
  <c r="AH34" i="13"/>
  <c r="AI35" i="11"/>
  <c r="AI34" i="11"/>
  <c r="AI35" i="10"/>
  <c r="AH35" i="9"/>
  <c r="AI35" i="8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Y39" i="17"/>
  <c r="Z39" i="17"/>
  <c r="AA39" i="17"/>
  <c r="AB39" i="17"/>
  <c r="AC39" i="17"/>
  <c r="AD39" i="17"/>
  <c r="AE39" i="17"/>
  <c r="AF39" i="17"/>
  <c r="AG39" i="17"/>
  <c r="AH39" i="17"/>
  <c r="AG50" i="17"/>
  <c r="D38" i="17"/>
  <c r="E38" i="17"/>
  <c r="F38" i="17"/>
  <c r="G38" i="17"/>
  <c r="H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Y38" i="17"/>
  <c r="Z38" i="17"/>
  <c r="AA38" i="17"/>
  <c r="AB38" i="17"/>
  <c r="AC38" i="17"/>
  <c r="AD38" i="17"/>
  <c r="AE38" i="17"/>
  <c r="AF38" i="17"/>
  <c r="AG38" i="17"/>
  <c r="AH38" i="17"/>
  <c r="AI33" i="17"/>
  <c r="AI32" i="17"/>
  <c r="AI31" i="17"/>
  <c r="AI30" i="17"/>
  <c r="AI29" i="17"/>
  <c r="AI28" i="17"/>
  <c r="AI27" i="17"/>
  <c r="AI26" i="17"/>
  <c r="AI25" i="17"/>
  <c r="AI24" i="17"/>
  <c r="AI23" i="17"/>
  <c r="AI22" i="17"/>
  <c r="AI21" i="17"/>
  <c r="AI20" i="17"/>
  <c r="AI19" i="17"/>
  <c r="AI18" i="17"/>
  <c r="AI17" i="17"/>
  <c r="AI16" i="17"/>
  <c r="AI15" i="17"/>
  <c r="AI14" i="17"/>
  <c r="AI13" i="17"/>
  <c r="AI12" i="17"/>
  <c r="AI11" i="17"/>
  <c r="AI10" i="17"/>
  <c r="AI9" i="17"/>
  <c r="AI8" i="17"/>
  <c r="AI7" i="17"/>
  <c r="AI6" i="17"/>
  <c r="D39" i="16"/>
  <c r="E39" i="16"/>
  <c r="F39" i="16"/>
  <c r="G39" i="16"/>
  <c r="H39" i="16"/>
  <c r="I39" i="16"/>
  <c r="J39" i="16"/>
  <c r="K39" i="16"/>
  <c r="L39" i="16"/>
  <c r="M39" i="16"/>
  <c r="N39" i="16"/>
  <c r="O39" i="16"/>
  <c r="P39" i="16"/>
  <c r="Q39" i="16"/>
  <c r="R39" i="16"/>
  <c r="S39" i="16"/>
  <c r="T39" i="16"/>
  <c r="U39" i="16"/>
  <c r="V39" i="16"/>
  <c r="W39" i="16"/>
  <c r="X39" i="16"/>
  <c r="Y39" i="16"/>
  <c r="Z39" i="16"/>
  <c r="AA39" i="16"/>
  <c r="AB39" i="16"/>
  <c r="AC39" i="16"/>
  <c r="AD39" i="16"/>
  <c r="AE39" i="16"/>
  <c r="AF39" i="16"/>
  <c r="AG39" i="16"/>
  <c r="AH39" i="16"/>
  <c r="AG50" i="16"/>
  <c r="D38" i="16"/>
  <c r="E38" i="16"/>
  <c r="F38" i="16"/>
  <c r="G38" i="16"/>
  <c r="H38" i="16"/>
  <c r="J38" i="16"/>
  <c r="K38" i="16"/>
  <c r="L38" i="16"/>
  <c r="M38" i="16"/>
  <c r="N38" i="16"/>
  <c r="O38" i="16"/>
  <c r="P38" i="16"/>
  <c r="Q38" i="16"/>
  <c r="R38" i="16"/>
  <c r="S38" i="16"/>
  <c r="T38" i="16"/>
  <c r="U38" i="16"/>
  <c r="V38" i="16"/>
  <c r="W38" i="16"/>
  <c r="X38" i="16"/>
  <c r="Y38" i="16"/>
  <c r="Z38" i="16"/>
  <c r="AA38" i="16"/>
  <c r="AB38" i="16"/>
  <c r="AC38" i="16"/>
  <c r="AD38" i="16"/>
  <c r="AE38" i="16"/>
  <c r="AF38" i="16"/>
  <c r="AG38" i="16"/>
  <c r="AH38" i="16"/>
  <c r="AH33" i="16"/>
  <c r="AH32" i="16"/>
  <c r="AH31" i="16"/>
  <c r="AH30" i="16"/>
  <c r="AH29" i="16"/>
  <c r="AH28" i="16"/>
  <c r="AH27" i="16"/>
  <c r="AH26" i="16"/>
  <c r="AH25" i="16"/>
  <c r="AH24" i="16"/>
  <c r="AH23" i="16"/>
  <c r="AH22" i="16"/>
  <c r="AH21" i="16"/>
  <c r="AH20" i="16"/>
  <c r="AH19" i="16"/>
  <c r="AH18" i="16"/>
  <c r="AH17" i="16"/>
  <c r="AH16" i="16"/>
  <c r="AH15" i="16"/>
  <c r="AH14" i="16"/>
  <c r="AH13" i="16"/>
  <c r="AH12" i="16"/>
  <c r="AH11" i="16"/>
  <c r="AH10" i="16"/>
  <c r="AH9" i="16"/>
  <c r="AH7" i="16"/>
  <c r="AH6" i="16"/>
  <c r="D39" i="15"/>
  <c r="E39" i="15"/>
  <c r="F39" i="15"/>
  <c r="G39" i="15"/>
  <c r="H39" i="15"/>
  <c r="I39" i="15"/>
  <c r="J39" i="15"/>
  <c r="K39" i="15"/>
  <c r="L39" i="15"/>
  <c r="M39" i="15"/>
  <c r="N39" i="15"/>
  <c r="O39" i="15"/>
  <c r="P39" i="15"/>
  <c r="Q39" i="15"/>
  <c r="R39" i="15"/>
  <c r="S39" i="15"/>
  <c r="T39" i="15"/>
  <c r="U39" i="15"/>
  <c r="V39" i="15"/>
  <c r="W39" i="15"/>
  <c r="X39" i="15"/>
  <c r="Y39" i="15"/>
  <c r="Z39" i="15"/>
  <c r="AA39" i="15"/>
  <c r="AB39" i="15"/>
  <c r="AC39" i="15"/>
  <c r="AD39" i="15"/>
  <c r="AE39" i="15"/>
  <c r="AF39" i="15"/>
  <c r="AG39" i="15"/>
  <c r="AH39" i="15"/>
  <c r="AG50" i="15"/>
  <c r="D38" i="15"/>
  <c r="E38" i="15"/>
  <c r="F38" i="15"/>
  <c r="G38" i="15"/>
  <c r="H38" i="15"/>
  <c r="J38" i="15"/>
  <c r="K38" i="15"/>
  <c r="L38" i="15"/>
  <c r="M38" i="15"/>
  <c r="N38" i="15"/>
  <c r="O38" i="15"/>
  <c r="P38" i="15"/>
  <c r="Q38" i="15"/>
  <c r="R38" i="15"/>
  <c r="S38" i="15"/>
  <c r="T38" i="15"/>
  <c r="U38" i="15"/>
  <c r="V38" i="15"/>
  <c r="W38" i="15"/>
  <c r="X38" i="15"/>
  <c r="Y38" i="15"/>
  <c r="Z38" i="15"/>
  <c r="AA38" i="15"/>
  <c r="AB38" i="15"/>
  <c r="AC38" i="15"/>
  <c r="AD38" i="15"/>
  <c r="AE38" i="15"/>
  <c r="AF38" i="15"/>
  <c r="AG38" i="15"/>
  <c r="AH38" i="15"/>
  <c r="AI33" i="15"/>
  <c r="AI32" i="15"/>
  <c r="AI31" i="15"/>
  <c r="AI30" i="15"/>
  <c r="AI29" i="15"/>
  <c r="AI28" i="15"/>
  <c r="AI27" i="15"/>
  <c r="AI26" i="15"/>
  <c r="AI25" i="15"/>
  <c r="AI24" i="15"/>
  <c r="AI23" i="15"/>
  <c r="AI22" i="15"/>
  <c r="AI21" i="15"/>
  <c r="AI20" i="15"/>
  <c r="AI19" i="15"/>
  <c r="AI18" i="15"/>
  <c r="AI17" i="15"/>
  <c r="AI16" i="15"/>
  <c r="AI15" i="15"/>
  <c r="AI14" i="15"/>
  <c r="AI13" i="15"/>
  <c r="AI12" i="15"/>
  <c r="AI11" i="15"/>
  <c r="AI10" i="15"/>
  <c r="AI9" i="15"/>
  <c r="AI8" i="15"/>
  <c r="AI7" i="15"/>
  <c r="AI6" i="15"/>
  <c r="D39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G50" i="13"/>
  <c r="D38" i="13"/>
  <c r="E38" i="13"/>
  <c r="F38" i="13"/>
  <c r="G38" i="13"/>
  <c r="H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H33" i="13"/>
  <c r="AH32" i="13"/>
  <c r="AH31" i="13"/>
  <c r="AH30" i="13"/>
  <c r="AH29" i="13"/>
  <c r="AH28" i="13"/>
  <c r="AH27" i="13"/>
  <c r="AH26" i="13"/>
  <c r="AH25" i="13"/>
  <c r="AH24" i="13"/>
  <c r="AH23" i="13"/>
  <c r="AH22" i="13"/>
  <c r="AH21" i="13"/>
  <c r="AH20" i="13"/>
  <c r="AH19" i="13"/>
  <c r="AH18" i="13"/>
  <c r="AH17" i="13"/>
  <c r="AH16" i="13"/>
  <c r="AH15" i="13"/>
  <c r="AH14" i="13"/>
  <c r="AH13" i="13"/>
  <c r="AH12" i="13"/>
  <c r="AH11" i="13"/>
  <c r="AH10" i="13"/>
  <c r="AH9" i="13"/>
  <c r="AH7" i="13"/>
  <c r="AH6" i="13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G50" i="11"/>
  <c r="D38" i="11"/>
  <c r="E38" i="11"/>
  <c r="F38" i="11"/>
  <c r="G38" i="11"/>
  <c r="H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3" i="11"/>
  <c r="AI32" i="11"/>
  <c r="AI31" i="11"/>
  <c r="AI30" i="11"/>
  <c r="AI29" i="11"/>
  <c r="AI28" i="11"/>
  <c r="AI27" i="11"/>
  <c r="AI26" i="11"/>
  <c r="AI25" i="11"/>
  <c r="AI24" i="11"/>
  <c r="AI23" i="11"/>
  <c r="AI22" i="11"/>
  <c r="AI21" i="11"/>
  <c r="AI20" i="11"/>
  <c r="AI19" i="11"/>
  <c r="AI18" i="11"/>
  <c r="AI17" i="11"/>
  <c r="AI16" i="11"/>
  <c r="AI15" i="11"/>
  <c r="AI14" i="11"/>
  <c r="AI13" i="11"/>
  <c r="AI12" i="11"/>
  <c r="AI11" i="11"/>
  <c r="AI10" i="11"/>
  <c r="AI9" i="11"/>
  <c r="AI8" i="11"/>
  <c r="AI7" i="11"/>
  <c r="AI6" i="11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G50" i="10"/>
  <c r="D38" i="10"/>
  <c r="E38" i="10"/>
  <c r="F38" i="10"/>
  <c r="G38" i="10"/>
  <c r="H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4" i="10"/>
  <c r="AI33" i="10"/>
  <c r="AI32" i="10"/>
  <c r="AI31" i="10"/>
  <c r="AI30" i="10"/>
  <c r="AI29" i="10"/>
  <c r="AI28" i="10"/>
  <c r="AI27" i="10"/>
  <c r="AI26" i="10"/>
  <c r="AI25" i="10"/>
  <c r="AI24" i="10"/>
  <c r="AI23" i="10"/>
  <c r="AI22" i="10"/>
  <c r="AI21" i="10"/>
  <c r="AI20" i="10"/>
  <c r="AI19" i="10"/>
  <c r="AI18" i="10"/>
  <c r="AI17" i="10"/>
  <c r="AI16" i="10"/>
  <c r="AI15" i="10"/>
  <c r="AI14" i="10"/>
  <c r="AI13" i="10"/>
  <c r="AI12" i="10"/>
  <c r="AI11" i="10"/>
  <c r="AI10" i="10"/>
  <c r="AI9" i="10"/>
  <c r="AI8" i="10"/>
  <c r="AI7" i="10"/>
  <c r="AI6" i="10"/>
  <c r="D39" i="9"/>
  <c r="E39" i="9"/>
  <c r="F39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G50" i="9"/>
  <c r="D38" i="9"/>
  <c r="E38" i="9"/>
  <c r="F38" i="9"/>
  <c r="G38" i="9"/>
  <c r="H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4" i="9"/>
  <c r="AH33" i="9"/>
  <c r="AH32" i="9"/>
  <c r="AH31" i="9"/>
  <c r="AH30" i="9"/>
  <c r="AH29" i="9"/>
  <c r="AH28" i="9"/>
  <c r="AH27" i="9"/>
  <c r="AH26" i="9"/>
  <c r="AH25" i="9"/>
  <c r="AH24" i="9"/>
  <c r="AH23" i="9"/>
  <c r="AH22" i="9"/>
  <c r="AH21" i="9"/>
  <c r="AH20" i="9"/>
  <c r="AH19" i="9"/>
  <c r="AH18" i="9"/>
  <c r="AH17" i="9"/>
  <c r="AH16" i="9"/>
  <c r="AH15" i="9"/>
  <c r="AH14" i="9"/>
  <c r="AH13" i="9"/>
  <c r="AH12" i="9"/>
  <c r="AH11" i="9"/>
  <c r="AH10" i="9"/>
  <c r="AH9" i="9"/>
  <c r="AH7" i="9"/>
  <c r="AH6" i="9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G50" i="8"/>
  <c r="D38" i="8"/>
  <c r="E38" i="8"/>
  <c r="F38" i="8"/>
  <c r="G38" i="8"/>
  <c r="H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AA38" i="8"/>
  <c r="AB38" i="8"/>
  <c r="AC38" i="8"/>
  <c r="AD38" i="8"/>
  <c r="AE38" i="8"/>
  <c r="AF38" i="8"/>
  <c r="AG38" i="8"/>
  <c r="AH38" i="8"/>
  <c r="AI34" i="8"/>
  <c r="AI33" i="8"/>
  <c r="AI32" i="8"/>
  <c r="AI31" i="8"/>
  <c r="AI30" i="8"/>
  <c r="AI29" i="8"/>
  <c r="AI28" i="8"/>
  <c r="AI27" i="8"/>
  <c r="AI26" i="8"/>
  <c r="AI25" i="8"/>
  <c r="AI24" i="8"/>
  <c r="AI23" i="8"/>
  <c r="AI21" i="8"/>
  <c r="AI20" i="8"/>
  <c r="AI19" i="8"/>
  <c r="AI18" i="8"/>
  <c r="AI17" i="8"/>
  <c r="AI16" i="8"/>
  <c r="AI15" i="8"/>
  <c r="AI14" i="8"/>
  <c r="AI13" i="8"/>
  <c r="AI12" i="8"/>
  <c r="AI11" i="8"/>
  <c r="AI10" i="8"/>
  <c r="AI9" i="8"/>
  <c r="AI8" i="8"/>
  <c r="AI7" i="8"/>
  <c r="AG50" i="5"/>
  <c r="AH33" i="5"/>
  <c r="AH32" i="5"/>
  <c r="AH31" i="5"/>
  <c r="AH30" i="5"/>
  <c r="AH29" i="5"/>
  <c r="AH28" i="5"/>
  <c r="AH27" i="5"/>
  <c r="AH26" i="5"/>
  <c r="AH25" i="5"/>
  <c r="AH24" i="5"/>
  <c r="AH23" i="5"/>
  <c r="AH22" i="5"/>
  <c r="AH21" i="5"/>
  <c r="AH20" i="5"/>
  <c r="AH19" i="5"/>
  <c r="AH18" i="5"/>
  <c r="AH17" i="5"/>
  <c r="AH16" i="5"/>
  <c r="AH15" i="5"/>
  <c r="AH14" i="5"/>
  <c r="AH13" i="5"/>
  <c r="AH12" i="5"/>
  <c r="AH11" i="5"/>
  <c r="AH10" i="5"/>
  <c r="AH9" i="5"/>
  <c r="AH8" i="5"/>
  <c r="AH7" i="5"/>
  <c r="AH6" i="5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G50" i="4"/>
  <c r="D38" i="4"/>
  <c r="E38" i="4"/>
  <c r="F38" i="4"/>
  <c r="G38" i="4"/>
  <c r="H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5" i="4"/>
  <c r="AI33" i="4"/>
  <c r="AI32" i="4"/>
  <c r="AI31" i="4"/>
  <c r="AI30" i="4"/>
  <c r="AI29" i="4"/>
  <c r="AI28" i="4"/>
  <c r="AI27" i="4"/>
  <c r="AI26" i="4"/>
  <c r="AI25" i="4"/>
  <c r="AI24" i="4"/>
  <c r="AI23" i="4"/>
  <c r="AI22" i="4"/>
  <c r="AI21" i="4"/>
  <c r="AI20" i="4"/>
  <c r="AI19" i="4"/>
  <c r="AI18" i="4"/>
  <c r="AI17" i="4"/>
  <c r="AI16" i="4"/>
  <c r="AI15" i="4"/>
  <c r="AI14" i="4"/>
  <c r="AI13" i="4"/>
  <c r="AI12" i="4"/>
  <c r="AI11" i="4"/>
  <c r="AI10" i="4"/>
  <c r="AI9" i="4"/>
  <c r="AI8" i="4"/>
  <c r="AI7" i="4"/>
  <c r="AI6" i="4"/>
  <c r="AG51" i="17" l="1"/>
  <c r="AG51" i="8"/>
  <c r="AG53" i="17"/>
  <c r="AG51" i="5"/>
  <c r="AG51" i="4"/>
  <c r="AG53" i="5"/>
  <c r="AG53" i="8"/>
  <c r="AG51" i="15"/>
  <c r="AG53" i="15"/>
  <c r="AG51" i="1"/>
  <c r="AG53" i="4"/>
  <c r="AG51" i="16"/>
  <c r="AG53" i="1"/>
  <c r="AG53" i="16"/>
  <c r="AG51" i="2"/>
  <c r="AG53" i="2"/>
  <c r="AG51" i="13"/>
  <c r="AG53" i="13"/>
  <c r="AG53" i="11"/>
  <c r="AG51" i="11"/>
  <c r="AG53" i="10"/>
  <c r="AG51" i="10"/>
  <c r="AG51" i="9"/>
  <c r="AG53" i="9"/>
  <c r="AG52" i="8" l="1"/>
  <c r="AG52" i="17"/>
  <c r="AG52" i="4"/>
  <c r="AG52" i="1"/>
  <c r="AG52" i="5"/>
  <c r="AG52" i="16"/>
  <c r="AG52" i="15"/>
  <c r="AG52" i="2"/>
  <c r="AG52" i="13"/>
  <c r="AG52" i="11"/>
  <c r="AG52" i="10"/>
  <c r="AG52" i="9"/>
</calcChain>
</file>

<file path=xl/sharedStrings.xml><?xml version="1.0" encoding="utf-8"?>
<sst xmlns="http://schemas.openxmlformats.org/spreadsheetml/2006/main" count="11721" uniqueCount="191">
  <si>
    <t>Air Resources Board</t>
  </si>
  <si>
    <t>DAILY RECORD OF AGRICULTURAL BURNING CONTROL NOTICES</t>
  </si>
  <si>
    <t>Meteorology Section</t>
  </si>
  <si>
    <t>S</t>
  </si>
  <si>
    <t>H</t>
  </si>
  <si>
    <t>AIR BASIN</t>
  </si>
  <si>
    <t>Burn %</t>
  </si>
  <si>
    <t>North Coast High</t>
  </si>
  <si>
    <t>G</t>
  </si>
  <si>
    <t>F</t>
  </si>
  <si>
    <t>North Coast Low</t>
  </si>
  <si>
    <t>B</t>
  </si>
  <si>
    <t>NB</t>
  </si>
  <si>
    <t>San Francisco Bay North High</t>
  </si>
  <si>
    <t>San Francisco Bay North Low</t>
  </si>
  <si>
    <t>San Francisco Bay South High</t>
  </si>
  <si>
    <t>San Francisco Bay South Low</t>
  </si>
  <si>
    <t>San Francisco Bay Coastal High</t>
  </si>
  <si>
    <t>San Francisco Bay Coastal Low</t>
  </si>
  <si>
    <t>North Central Coast Coastal</t>
  </si>
  <si>
    <t>North Central Coast Inland</t>
  </si>
  <si>
    <t>South Central Coast High</t>
  </si>
  <si>
    <t>M</t>
  </si>
  <si>
    <t>South Central Coast South Low</t>
  </si>
  <si>
    <t>South Central Coast North Low (Coastal)</t>
  </si>
  <si>
    <t>South Central Coast North Low (Inland)</t>
  </si>
  <si>
    <t>South Coast</t>
  </si>
  <si>
    <t>San Diego West High</t>
  </si>
  <si>
    <t>San Diego West Low</t>
  </si>
  <si>
    <t>Mojave Desert</t>
  </si>
  <si>
    <t>Salton Sea and San Diego East</t>
  </si>
  <si>
    <t>Sacramento Valley High</t>
  </si>
  <si>
    <t>Sacramento Valley Low</t>
  </si>
  <si>
    <t>Northeast Plateau</t>
  </si>
  <si>
    <t>Mountain Counties North</t>
  </si>
  <si>
    <t>Mountain Counties South</t>
  </si>
  <si>
    <t>Lake Tahoe</t>
  </si>
  <si>
    <t>Bay Area Fall / Spring Tule Burn Allocation (Acres)</t>
  </si>
  <si>
    <t>*Elevation Other Than 3,000 Feet (1,000's of Feet)</t>
  </si>
  <si>
    <t>Legend</t>
  </si>
  <si>
    <t>All Air Basins:</t>
  </si>
  <si>
    <t>Sacramento Valley Low Only:</t>
  </si>
  <si>
    <t>Select Air Basins:</t>
  </si>
  <si>
    <t xml:space="preserve">Permissive Burn Day Decision </t>
  </si>
  <si>
    <t>nnXX</t>
  </si>
  <si>
    <t>nn = The Number of Acres Allocated (in 1,000's)</t>
  </si>
  <si>
    <t>Superior</t>
  </si>
  <si>
    <t>Marginal Burn Day Decision</t>
  </si>
  <si>
    <t>XX = The Conditions (Listed Below)</t>
  </si>
  <si>
    <t>Good</t>
  </si>
  <si>
    <t>No-Burn Day Decision</t>
  </si>
  <si>
    <t>U</t>
  </si>
  <si>
    <t>Updated Acreage</t>
  </si>
  <si>
    <t>Fair</t>
  </si>
  <si>
    <t xml:space="preserve">DB </t>
  </si>
  <si>
    <t>Delayed Burn Day Decision</t>
  </si>
  <si>
    <t>N</t>
  </si>
  <si>
    <t>North Wind Day</t>
  </si>
  <si>
    <t>Marginal</t>
  </si>
  <si>
    <t xml:space="preserve">DN </t>
  </si>
  <si>
    <t>Delayed No-Burn Day Decision</t>
  </si>
  <si>
    <t>W</t>
  </si>
  <si>
    <t>Wet Conditions</t>
  </si>
  <si>
    <t>L</t>
  </si>
  <si>
    <t>Limited</t>
  </si>
  <si>
    <t>Ab</t>
  </si>
  <si>
    <t>Decision Amended to Burn Day</t>
  </si>
  <si>
    <t>P</t>
  </si>
  <si>
    <t>Prunings Only</t>
  </si>
  <si>
    <t>An</t>
  </si>
  <si>
    <t>Decision Amended to No-Burn Day</t>
  </si>
  <si>
    <t>R</t>
  </si>
  <si>
    <t>Restricted Field Day</t>
  </si>
  <si>
    <t>Totals:</t>
  </si>
  <si>
    <t>B^</t>
  </si>
  <si>
    <t xml:space="preserve">Burn Day, But Burn Restrictions Requested </t>
  </si>
  <si>
    <t>E</t>
  </si>
  <si>
    <t>Extended Burn Hours to 5pm</t>
  </si>
  <si>
    <t>Number Of DaysThis Month</t>
  </si>
  <si>
    <t xml:space="preserve">     by CDF, USFS, or APCD</t>
  </si>
  <si>
    <t>Example: 8N = 8,000 Acres associated with a North Wind condition</t>
  </si>
  <si>
    <t>Burn Day Declared for All Basins</t>
  </si>
  <si>
    <t>NB^</t>
  </si>
  <si>
    <t>No-Burn Day as Requested</t>
  </si>
  <si>
    <t>No-Burn Day Declared for Some Basins</t>
  </si>
  <si>
    <t>San Joaquin Valley Authorized:</t>
  </si>
  <si>
    <t>No-Burn Day Declared for All Basins</t>
  </si>
  <si>
    <t xml:space="preserve">nnP  </t>
  </si>
  <si>
    <t>nn = The number of tons of Particulate Matter</t>
  </si>
  <si>
    <t>nnV</t>
  </si>
  <si>
    <t>nn = The number of tons of Volatile Organic Compounds</t>
  </si>
  <si>
    <t>Air Quality Planning and Science Division</t>
  </si>
  <si>
    <t>North Central Coast San Lorenzo Valley</t>
  </si>
  <si>
    <t xml:space="preserve">Lake County  </t>
  </si>
  <si>
    <t>Lake County  (Burn Ban Through November)</t>
  </si>
  <si>
    <t>Great Basin Valleys North</t>
  </si>
  <si>
    <t>Great Basin Valleys South</t>
  </si>
  <si>
    <t>San Joaquin Valley Authorized VOC / PM10 / NOx</t>
  </si>
  <si>
    <t>M^ OR NB^</t>
  </si>
  <si>
    <t>Marginal or No-Burn Day as Requested</t>
  </si>
  <si>
    <t>.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</si>
  <si>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</si>
  <si>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</si>
  <si>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</si>
  <si>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</si>
  <si>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</si>
  <si>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</si>
  <si>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</si>
  <si>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</si>
  <si>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</si>
  <si>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</si>
  <si>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</si>
  <si>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</si>
  <si>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2W</t>
  </si>
  <si>
    <t>2R</t>
  </si>
  <si>
    <t>2P</t>
  </si>
  <si>
    <t>0.48P</t>
  </si>
  <si>
    <t>2.7P</t>
  </si>
  <si>
    <t>26.2p</t>
  </si>
  <si>
    <t>2p</t>
  </si>
  <si>
    <t>32p</t>
  </si>
  <si>
    <t>37p</t>
  </si>
  <si>
    <t>65p</t>
  </si>
  <si>
    <t>2w</t>
  </si>
  <si>
    <t>9.7p</t>
  </si>
  <si>
    <t>31p</t>
  </si>
  <si>
    <t>38p</t>
  </si>
  <si>
    <t>69p</t>
  </si>
  <si>
    <t>95.7p</t>
  </si>
  <si>
    <t>13.5p</t>
  </si>
  <si>
    <t>7.4p</t>
  </si>
  <si>
    <t xml:space="preserve">B </t>
  </si>
  <si>
    <t>63.8p</t>
  </si>
  <si>
    <t>1.2p</t>
  </si>
  <si>
    <t>10.6p</t>
  </si>
  <si>
    <t>40.2p</t>
  </si>
  <si>
    <t>11.4p</t>
  </si>
  <si>
    <t>18p</t>
  </si>
  <si>
    <t>2.6p</t>
  </si>
  <si>
    <t>7.6p</t>
  </si>
  <si>
    <t>9.1p</t>
  </si>
  <si>
    <t>4.1p</t>
  </si>
  <si>
    <t>3.2p</t>
  </si>
  <si>
    <t>21.5p</t>
  </si>
  <si>
    <t>48.6p</t>
  </si>
  <si>
    <t>23.6p</t>
  </si>
  <si>
    <t>40p</t>
  </si>
  <si>
    <t>0.603p</t>
  </si>
  <si>
    <t>6.8p</t>
  </si>
  <si>
    <t>7p</t>
  </si>
  <si>
    <t>62.9p</t>
  </si>
  <si>
    <t>5.7p</t>
  </si>
  <si>
    <t>2.8p</t>
  </si>
  <si>
    <t>7.8p</t>
  </si>
  <si>
    <t>7.7p</t>
  </si>
  <si>
    <t>10.9p</t>
  </si>
  <si>
    <t>8.8p</t>
  </si>
  <si>
    <t>16.7p</t>
  </si>
  <si>
    <t>10.4N</t>
  </si>
  <si>
    <t>10.6N</t>
  </si>
  <si>
    <t>9.2n</t>
  </si>
  <si>
    <t>3.8N</t>
  </si>
  <si>
    <t>13.2N</t>
  </si>
  <si>
    <t>1.3N</t>
  </si>
  <si>
    <t>8.9n</t>
  </si>
  <si>
    <t>6.6n</t>
  </si>
  <si>
    <t>10.2n</t>
  </si>
  <si>
    <t>12.9n</t>
  </si>
  <si>
    <t>1.0n</t>
  </si>
  <si>
    <t>0.58n</t>
  </si>
  <si>
    <t>0.7n</t>
  </si>
  <si>
    <t>0.6n</t>
  </si>
  <si>
    <t>17.8n</t>
  </si>
  <si>
    <t>9.7n</t>
  </si>
  <si>
    <t>7.8n</t>
  </si>
  <si>
    <t>3.1n</t>
  </si>
  <si>
    <t>2.6n</t>
  </si>
  <si>
    <t>5.9n</t>
  </si>
  <si>
    <t>0.5N</t>
  </si>
  <si>
    <t>29.2N</t>
  </si>
  <si>
    <t>1.3p</t>
  </si>
  <si>
    <t>3.8p</t>
  </si>
  <si>
    <t>6.5p</t>
  </si>
  <si>
    <t>18.5p</t>
  </si>
  <si>
    <t>22.2p</t>
  </si>
  <si>
    <t>14.5p</t>
  </si>
  <si>
    <t>28.3p</t>
  </si>
  <si>
    <t>30.3p</t>
  </si>
  <si>
    <t>20.2p</t>
  </si>
  <si>
    <t>47.3p</t>
  </si>
  <si>
    <t>9p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</si>
</sst>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i/>
      <sz val="12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0"/>
      <color indexed="14"/>
      <name val="Arial"/>
      <family val="2"/>
    </font>
    <font>
      <sz val="11"/>
      <name val="Arial"/>
      <family val="2"/>
    </font>
    <font>
      <b/>
      <sz val="10"/>
      <color indexed="52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0"/>
      <color rgb="FFFF00FF"/>
      <name val="Arial"/>
      <family val="2"/>
    </font>
    <font>
      <sz val="11"/>
      <color rgb="FFFF00FF"/>
      <name val="Calibri"/>
      <family val="2"/>
      <scheme val="minor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186">
    <xf numFmtId="0" fontId="0" fillId="0" borderId="0" xfId="0"/>
    <xf numFmtId="0" fontId="1" fillId="0" borderId="0" xfId="0" applyFont="1"/>
    <xf numFmtId="0" fontId="2" fillId="0" borderId="0" xfId="0" applyFont="1"/>
    <xf numFmtId="9" fontId="16" fillId="0" borderId="0" xfId="1"/>
    <xf numFmtId="49" fontId="2" fillId="0" borderId="0" xfId="0" applyNumberFormat="1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9" fontId="6" fillId="2" borderId="6" xfId="1" applyFont="1" applyFill="1" applyBorder="1" applyAlignment="1">
      <alignment horizontal="center"/>
    </xf>
    <xf numFmtId="0" fontId="5" fillId="0" borderId="0" xfId="0" applyFont="1"/>
    <xf numFmtId="9" fontId="7" fillId="2" borderId="7" xfId="1" applyFont="1" applyFill="1" applyBorder="1"/>
    <xf numFmtId="0" fontId="8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9" fontId="7" fillId="2" borderId="10" xfId="1" applyFont="1" applyFill="1" applyBorder="1"/>
    <xf numFmtId="0" fontId="8" fillId="0" borderId="11" xfId="0" applyFont="1" applyBorder="1" applyAlignment="1">
      <alignment horizontal="center"/>
    </xf>
    <xf numFmtId="9" fontId="7" fillId="2" borderId="12" xfId="1" applyFont="1" applyFill="1" applyBorder="1"/>
    <xf numFmtId="0" fontId="9" fillId="0" borderId="13" xfId="0" applyFont="1" applyBorder="1" applyAlignment="1">
      <alignment horizontal="center"/>
    </xf>
    <xf numFmtId="9" fontId="7" fillId="2" borderId="14" xfId="1" applyFont="1" applyFill="1" applyBorder="1"/>
    <xf numFmtId="0" fontId="8" fillId="0" borderId="13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164" fontId="3" fillId="5" borderId="8" xfId="0" applyNumberFormat="1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9" fontId="7" fillId="2" borderId="17" xfId="1" applyFont="1" applyFill="1" applyBorder="1"/>
    <xf numFmtId="0" fontId="3" fillId="0" borderId="18" xfId="0" applyFont="1" applyBorder="1" applyAlignment="1">
      <alignment horizontal="center"/>
    </xf>
    <xf numFmtId="0" fontId="3" fillId="0" borderId="0" xfId="0" applyFont="1"/>
    <xf numFmtId="9" fontId="3" fillId="0" borderId="0" xfId="1" applyFont="1" applyAlignment="1">
      <alignment horizontal="center"/>
    </xf>
    <xf numFmtId="0" fontId="11" fillId="0" borderId="16" xfId="0" applyFont="1" applyBorder="1" applyAlignment="1">
      <alignment horizontal="center"/>
    </xf>
    <xf numFmtId="9" fontId="12" fillId="0" borderId="0" xfId="1" applyFont="1" applyAlignment="1">
      <alignment horizontal="center"/>
    </xf>
    <xf numFmtId="0" fontId="12" fillId="0" borderId="0" xfId="0" applyFont="1"/>
    <xf numFmtId="1" fontId="0" fillId="6" borderId="20" xfId="0" applyNumberFormat="1" applyFill="1" applyBorder="1"/>
    <xf numFmtId="0" fontId="0" fillId="6" borderId="0" xfId="0" applyFill="1"/>
    <xf numFmtId="0" fontId="11" fillId="0" borderId="0" xfId="0" applyFont="1"/>
    <xf numFmtId="0" fontId="6" fillId="0" borderId="21" xfId="0" applyFont="1" applyBorder="1"/>
    <xf numFmtId="0" fontId="0" fillId="3" borderId="0" xfId="0" applyFill="1"/>
    <xf numFmtId="0" fontId="0" fillId="5" borderId="20" xfId="0" applyFill="1" applyBorder="1"/>
    <xf numFmtId="0" fontId="6" fillId="5" borderId="0" xfId="0" applyFont="1" applyFill="1"/>
    <xf numFmtId="0" fontId="0" fillId="5" borderId="0" xfId="0" applyFill="1"/>
    <xf numFmtId="0" fontId="0" fillId="5" borderId="22" xfId="0" applyFill="1" applyBorder="1"/>
    <xf numFmtId="0" fontId="0" fillId="4" borderId="20" xfId="0" applyFill="1" applyBorder="1"/>
    <xf numFmtId="0" fontId="0" fillId="4" borderId="0" xfId="0" applyFill="1"/>
    <xf numFmtId="0" fontId="6" fillId="4" borderId="0" xfId="0" applyFont="1" applyFill="1"/>
    <xf numFmtId="0" fontId="0" fillId="4" borderId="23" xfId="0" applyFill="1" applyBorder="1"/>
    <xf numFmtId="0" fontId="7" fillId="0" borderId="21" xfId="0" applyFont="1" applyBorder="1"/>
    <xf numFmtId="0" fontId="7" fillId="5" borderId="0" xfId="0" applyFont="1" applyFill="1"/>
    <xf numFmtId="0" fontId="7" fillId="4" borderId="0" xfId="0" applyFont="1" applyFill="1"/>
    <xf numFmtId="0" fontId="13" fillId="0" borderId="21" xfId="0" applyFont="1" applyBorder="1"/>
    <xf numFmtId="0" fontId="14" fillId="0" borderId="21" xfId="0" applyFont="1" applyBorder="1"/>
    <xf numFmtId="0" fontId="0" fillId="4" borderId="24" xfId="0" applyFill="1" applyBorder="1"/>
    <xf numFmtId="0" fontId="0" fillId="4" borderId="25" xfId="0" applyFill="1" applyBorder="1"/>
    <xf numFmtId="0" fontId="7" fillId="4" borderId="25" xfId="0" applyFont="1" applyFill="1" applyBorder="1"/>
    <xf numFmtId="0" fontId="0" fillId="4" borderId="26" xfId="0" applyFill="1" applyBorder="1"/>
    <xf numFmtId="0" fontId="0" fillId="0" borderId="23" xfId="0" applyBorder="1"/>
    <xf numFmtId="0" fontId="6" fillId="0" borderId="0" xfId="0" applyFont="1"/>
    <xf numFmtId="0" fontId="0" fillId="0" borderId="21" xfId="0" applyBorder="1"/>
    <xf numFmtId="0" fontId="7" fillId="3" borderId="21" xfId="0" applyFont="1" applyFill="1" applyBorder="1"/>
    <xf numFmtId="0" fontId="0" fillId="3" borderId="27" xfId="0" applyFill="1" applyBorder="1"/>
    <xf numFmtId="0" fontId="0" fillId="3" borderId="1" xfId="0" applyFill="1" applyBorder="1"/>
    <xf numFmtId="0" fontId="0" fillId="5" borderId="28" xfId="0" applyFill="1" applyBorder="1"/>
    <xf numFmtId="0" fontId="7" fillId="5" borderId="1" xfId="0" applyFont="1" applyFill="1" applyBorder="1"/>
    <xf numFmtId="0" fontId="0" fillId="5" borderId="1" xfId="0" applyFill="1" applyBorder="1"/>
    <xf numFmtId="0" fontId="0" fillId="5" borderId="29" xfId="0" applyFill="1" applyBorder="1"/>
    <xf numFmtId="0" fontId="0" fillId="0" borderId="1" xfId="0" applyBorder="1"/>
    <xf numFmtId="0" fontId="0" fillId="0" borderId="30" xfId="0" applyBorder="1"/>
    <xf numFmtId="0" fontId="5" fillId="2" borderId="18" xfId="0" applyFont="1" applyFill="1" applyBorder="1" applyAlignment="1">
      <alignment horizontal="center"/>
    </xf>
    <xf numFmtId="0" fontId="17" fillId="4" borderId="13" xfId="0" applyFont="1" applyFill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4" borderId="9" xfId="0" applyFont="1" applyFill="1" applyBorder="1" applyAlignment="1">
      <alignment horizontal="center"/>
    </xf>
    <xf numFmtId="164" fontId="10" fillId="5" borderId="8" xfId="0" applyNumberFormat="1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4" fontId="17" fillId="5" borderId="8" xfId="0" applyNumberFormat="1" applyFont="1" applyFill="1" applyBorder="1" applyAlignment="1">
      <alignment horizontal="center"/>
    </xf>
    <xf numFmtId="0" fontId="17" fillId="5" borderId="15" xfId="0" applyFont="1" applyFill="1" applyBorder="1" applyAlignment="1">
      <alignment horizontal="center"/>
    </xf>
    <xf numFmtId="0" fontId="17" fillId="4" borderId="15" xfId="0" applyFont="1" applyFill="1" applyBorder="1" applyAlignment="1">
      <alignment horizontal="center"/>
    </xf>
    <xf numFmtId="0" fontId="17" fillId="4" borderId="8" xfId="0" applyFont="1" applyFill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1" fillId="0" borderId="16" xfId="0" applyFont="1" applyBorder="1" applyAlignment="1">
      <alignment horizontal="left"/>
    </xf>
    <xf numFmtId="0" fontId="10" fillId="0" borderId="17" xfId="0" applyFont="1" applyBorder="1" applyAlignment="1">
      <alignment horizontal="center"/>
    </xf>
    <xf numFmtId="17" fontId="8" fillId="0" borderId="8" xfId="0" applyNumberFormat="1" applyFont="1" applyBorder="1" applyAlignment="1">
      <alignment horizontal="center"/>
    </xf>
    <xf numFmtId="0" fontId="18" fillId="5" borderId="15" xfId="0" applyFont="1" applyFill="1" applyBorder="1" applyAlignment="1">
      <alignment horizontal="center"/>
    </xf>
    <xf numFmtId="17" fontId="4" fillId="0" borderId="0" xfId="0" applyNumberFormat="1" applyFont="1" applyAlignment="1">
      <alignment horizontal="center"/>
    </xf>
    <xf numFmtId="0" fontId="15" fillId="0" borderId="18" xfId="0" applyFont="1" applyBorder="1" applyAlignment="1">
      <alignment horizontal="left"/>
    </xf>
    <xf numFmtId="0" fontId="15" fillId="0" borderId="16" xfId="0" applyFont="1" applyBorder="1" applyAlignment="1">
      <alignment horizontal="center"/>
    </xf>
    <xf numFmtId="0" fontId="17" fillId="0" borderId="32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9" fontId="7" fillId="2" borderId="33" xfId="1" applyFont="1" applyFill="1" applyBorder="1"/>
    <xf numFmtId="0" fontId="3" fillId="0" borderId="18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17" fillId="5" borderId="8" xfId="0" applyFont="1" applyFill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20" fillId="0" borderId="0" xfId="0" applyFont="1"/>
    <xf numFmtId="0" fontId="5" fillId="7" borderId="4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17" fillId="7" borderId="13" xfId="0" applyFont="1" applyFill="1" applyBorder="1" applyAlignment="1">
      <alignment horizontal="center"/>
    </xf>
    <xf numFmtId="0" fontId="17" fillId="7" borderId="8" xfId="0" applyFont="1" applyFill="1" applyBorder="1" applyAlignment="1">
      <alignment horizontal="center"/>
    </xf>
    <xf numFmtId="0" fontId="8" fillId="7" borderId="11" xfId="0" applyFont="1" applyFill="1" applyBorder="1" applyAlignment="1">
      <alignment horizontal="center"/>
    </xf>
    <xf numFmtId="0" fontId="9" fillId="7" borderId="13" xfId="0" applyFont="1" applyFill="1" applyBorder="1" applyAlignment="1">
      <alignment horizontal="center"/>
    </xf>
    <xf numFmtId="0" fontId="17" fillId="7" borderId="9" xfId="0" applyFont="1" applyFill="1" applyBorder="1" applyAlignment="1">
      <alignment horizontal="center"/>
    </xf>
    <xf numFmtId="0" fontId="9" fillId="7" borderId="9" xfId="0" applyFont="1" applyFill="1" applyBorder="1" applyAlignment="1">
      <alignment horizontal="center"/>
    </xf>
    <xf numFmtId="0" fontId="9" fillId="7" borderId="8" xfId="0" applyFont="1" applyFill="1" applyBorder="1" applyAlignment="1">
      <alignment horizontal="center"/>
    </xf>
    <xf numFmtId="0" fontId="17" fillId="7" borderId="15" xfId="0" applyFont="1" applyFill="1" applyBorder="1" applyAlignment="1">
      <alignment horizontal="center"/>
    </xf>
    <xf numFmtId="0" fontId="9" fillId="7" borderId="15" xfId="0" applyFont="1" applyFill="1" applyBorder="1" applyAlignment="1">
      <alignment horizontal="center"/>
    </xf>
    <xf numFmtId="164" fontId="17" fillId="7" borderId="8" xfId="0" applyNumberFormat="1" applyFont="1" applyFill="1" applyBorder="1" applyAlignment="1">
      <alignment horizontal="center"/>
    </xf>
    <xf numFmtId="0" fontId="3" fillId="7" borderId="15" xfId="0" applyFont="1" applyFill="1" applyBorder="1" applyAlignment="1">
      <alignment horizontal="center"/>
    </xf>
    <xf numFmtId="0" fontId="9" fillId="7" borderId="32" xfId="0" applyFont="1" applyFill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7" borderId="31" xfId="0" applyFont="1" applyFill="1" applyBorder="1" applyAlignment="1">
      <alignment horizontal="center"/>
    </xf>
    <xf numFmtId="0" fontId="10" fillId="7" borderId="16" xfId="0" applyFont="1" applyFill="1" applyBorder="1" applyAlignment="1">
      <alignment horizontal="center"/>
    </xf>
    <xf numFmtId="0" fontId="10" fillId="7" borderId="17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3" fillId="0" borderId="16" xfId="0" applyFont="1" applyBorder="1" applyAlignment="1">
      <alignment horizontal="center"/>
    </xf>
    <xf numFmtId="164" fontId="17" fillId="5" borderId="15" xfId="0" applyNumberFormat="1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17" fillId="8" borderId="13" xfId="0" applyFont="1" applyFill="1" applyBorder="1" applyAlignment="1">
      <alignment horizontal="center"/>
    </xf>
    <xf numFmtId="0" fontId="17" fillId="8" borderId="8" xfId="0" applyFont="1" applyFill="1" applyBorder="1" applyAlignment="1">
      <alignment horizontal="center"/>
    </xf>
    <xf numFmtId="0" fontId="8" fillId="8" borderId="11" xfId="0" applyFont="1" applyFill="1" applyBorder="1" applyAlignment="1">
      <alignment horizontal="center"/>
    </xf>
    <xf numFmtId="0" fontId="17" fillId="8" borderId="9" xfId="0" applyFont="1" applyFill="1" applyBorder="1" applyAlignment="1">
      <alignment horizontal="center"/>
    </xf>
    <xf numFmtId="0" fontId="3" fillId="8" borderId="13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17" fillId="8" borderId="15" xfId="0" applyFont="1" applyFill="1" applyBorder="1" applyAlignment="1">
      <alignment horizontal="center"/>
    </xf>
    <xf numFmtId="0" fontId="9" fillId="8" borderId="15" xfId="0" applyFont="1" applyFill="1" applyBorder="1" applyAlignment="1">
      <alignment horizontal="center"/>
    </xf>
    <xf numFmtId="164" fontId="3" fillId="8" borderId="8" xfId="0" applyNumberFormat="1" applyFont="1" applyFill="1" applyBorder="1" applyAlignment="1">
      <alignment horizontal="center"/>
    </xf>
    <xf numFmtId="0" fontId="17" fillId="8" borderId="32" xfId="0" applyFont="1" applyFill="1" applyBorder="1" applyAlignment="1">
      <alignment horizontal="center"/>
    </xf>
    <xf numFmtId="0" fontId="10" fillId="8" borderId="18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6" fillId="2" borderId="38" xfId="0" applyFont="1" applyFill="1" applyBorder="1" applyAlignment="1">
      <alignment horizontal="center"/>
    </xf>
    <xf numFmtId="0" fontId="3" fillId="0" borderId="46" xfId="0" applyFont="1" applyBorder="1" applyAlignment="1">
      <alignment horizontal="left"/>
    </xf>
    <xf numFmtId="0" fontId="3" fillId="0" borderId="47" xfId="0" applyFont="1" applyBorder="1" applyAlignment="1">
      <alignment horizontal="left"/>
    </xf>
    <xf numFmtId="0" fontId="3" fillId="0" borderId="48" xfId="0" applyFont="1" applyBorder="1" applyAlignment="1">
      <alignment horizontal="left"/>
    </xf>
    <xf numFmtId="0" fontId="5" fillId="4" borderId="39" xfId="0" applyFont="1" applyFill="1" applyBorder="1" applyAlignment="1">
      <alignment horizontal="left"/>
    </xf>
    <xf numFmtId="0" fontId="5" fillId="4" borderId="40" xfId="0" applyFont="1" applyFill="1" applyBorder="1" applyAlignment="1">
      <alignment horizontal="left"/>
    </xf>
    <xf numFmtId="0" fontId="5" fillId="4" borderId="41" xfId="0" applyFont="1" applyFill="1" applyBorder="1" applyAlignment="1">
      <alignment horizontal="left"/>
    </xf>
    <xf numFmtId="0" fontId="5" fillId="4" borderId="42" xfId="0" applyFont="1" applyFill="1" applyBorder="1" applyAlignment="1">
      <alignment horizontal="left"/>
    </xf>
    <xf numFmtId="0" fontId="5" fillId="4" borderId="43" xfId="0" applyFont="1" applyFill="1" applyBorder="1" applyAlignment="1">
      <alignment horizontal="left"/>
    </xf>
    <xf numFmtId="0" fontId="5" fillId="4" borderId="11" xfId="0" applyFont="1" applyFill="1" applyBorder="1" applyAlignment="1">
      <alignment horizontal="left"/>
    </xf>
    <xf numFmtId="0" fontId="5" fillId="4" borderId="44" xfId="0" applyFont="1" applyFill="1" applyBorder="1" applyAlignment="1">
      <alignment horizontal="left"/>
    </xf>
    <xf numFmtId="0" fontId="5" fillId="4" borderId="25" xfId="0" applyFont="1" applyFill="1" applyBorder="1" applyAlignment="1">
      <alignment horizontal="left"/>
    </xf>
    <xf numFmtId="0" fontId="5" fillId="4" borderId="45" xfId="0" applyFont="1" applyFill="1" applyBorder="1" applyAlignment="1">
      <alignment horizontal="left"/>
    </xf>
    <xf numFmtId="0" fontId="5" fillId="0" borderId="39" xfId="0" applyFont="1" applyBorder="1" applyAlignment="1">
      <alignment horizontal="left"/>
    </xf>
    <xf numFmtId="0" fontId="5" fillId="0" borderId="40" xfId="0" applyFont="1" applyBorder="1" applyAlignment="1">
      <alignment horizontal="left"/>
    </xf>
    <xf numFmtId="0" fontId="5" fillId="0" borderId="41" xfId="0" applyFont="1" applyBorder="1" applyAlignment="1">
      <alignment horizontal="left"/>
    </xf>
    <xf numFmtId="0" fontId="5" fillId="0" borderId="27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3" fillId="0" borderId="34" xfId="0" applyFont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5" fillId="5" borderId="39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left"/>
    </xf>
    <xf numFmtId="0" fontId="5" fillId="5" borderId="41" xfId="0" applyFont="1" applyFill="1" applyBorder="1" applyAlignment="1">
      <alignment horizontal="left"/>
    </xf>
    <xf numFmtId="0" fontId="5" fillId="0" borderId="42" xfId="0" applyFont="1" applyBorder="1" applyAlignment="1">
      <alignment horizontal="left"/>
    </xf>
    <xf numFmtId="0" fontId="5" fillId="0" borderId="43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44" xfId="0" applyFont="1" applyBorder="1" applyAlignment="1">
      <alignment horizontal="left"/>
    </xf>
    <xf numFmtId="0" fontId="5" fillId="0" borderId="25" xfId="0" applyFont="1" applyBorder="1" applyAlignment="1">
      <alignment horizontal="left"/>
    </xf>
    <xf numFmtId="0" fontId="5" fillId="0" borderId="45" xfId="0" applyFont="1" applyBorder="1" applyAlignment="1">
      <alignment horizontal="left"/>
    </xf>
    <xf numFmtId="0" fontId="5" fillId="5" borderId="44" xfId="0" applyFont="1" applyFill="1" applyBorder="1" applyAlignment="1">
      <alignment horizontal="left"/>
    </xf>
    <xf numFmtId="0" fontId="5" fillId="5" borderId="25" xfId="0" applyFont="1" applyFill="1" applyBorder="1" applyAlignment="1">
      <alignment horizontal="left"/>
    </xf>
    <xf numFmtId="0" fontId="5" fillId="5" borderId="45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2253"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R59"/>
  <sheetViews>
    <sheetView tabSelected="1"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4" width="5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91</v>
      </c>
    </row>
    <row r="3" spans="1:44" ht="23.25" x14ac:dyDescent="0.35">
      <c r="A3" s="1" t="s">
        <v>2</v>
      </c>
      <c r="P3" s="4" t="s">
        <v>101</v>
      </c>
    </row>
    <row r="4" spans="1:44" s="5" customFormat="1" ht="15.75" customHeight="1" thickBot="1" x14ac:dyDescent="0.3">
      <c r="C4" s="6"/>
      <c r="D4" s="5" t="s">
        <v>4</v>
      </c>
      <c r="E4" s="6" t="s">
        <v>3</v>
      </c>
      <c r="F4" s="5" t="s">
        <v>3</v>
      </c>
      <c r="L4" s="6" t="s">
        <v>3</v>
      </c>
      <c r="M4" s="5" t="s">
        <v>3</v>
      </c>
      <c r="S4" s="5" t="s">
        <v>3</v>
      </c>
      <c r="T4" s="5" t="s">
        <v>3</v>
      </c>
      <c r="U4" s="5" t="s">
        <v>4</v>
      </c>
      <c r="Z4" s="5" t="s">
        <v>3</v>
      </c>
      <c r="AA4" s="5" t="s">
        <v>3</v>
      </c>
      <c r="AG4" s="5" t="s">
        <v>3</v>
      </c>
      <c r="AH4" s="5" t="s">
        <v>3</v>
      </c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0">
        <v>31</v>
      </c>
      <c r="AI5" s="11" t="s">
        <v>6</v>
      </c>
      <c r="AJ5"/>
      <c r="AK5"/>
      <c r="AL5"/>
      <c r="AM5"/>
      <c r="AN5"/>
      <c r="AO5"/>
      <c r="AP5"/>
      <c r="AQ5"/>
      <c r="AR5"/>
    </row>
    <row r="6" spans="1:44" ht="15.75" customHeight="1" x14ac:dyDescent="0.25">
      <c r="A6" s="156" t="s">
        <v>7</v>
      </c>
      <c r="B6" s="157"/>
      <c r="C6" s="158"/>
      <c r="D6" s="72" t="s">
        <v>8</v>
      </c>
      <c r="E6" s="72" t="s">
        <v>8</v>
      </c>
      <c r="F6" s="72" t="s">
        <v>8</v>
      </c>
      <c r="G6" s="72" t="s">
        <v>8</v>
      </c>
      <c r="H6" s="72" t="s">
        <v>8</v>
      </c>
      <c r="I6" s="72" t="s">
        <v>8</v>
      </c>
      <c r="J6" s="72" t="s">
        <v>8</v>
      </c>
      <c r="K6" s="72" t="s">
        <v>9</v>
      </c>
      <c r="L6" s="72" t="s">
        <v>9</v>
      </c>
      <c r="M6" s="72" t="s">
        <v>9</v>
      </c>
      <c r="N6" s="72" t="s">
        <v>9</v>
      </c>
      <c r="O6" s="72" t="s">
        <v>8</v>
      </c>
      <c r="P6" s="72" t="s">
        <v>9</v>
      </c>
      <c r="Q6" s="72" t="s">
        <v>22</v>
      </c>
      <c r="R6" s="72" t="s">
        <v>9</v>
      </c>
      <c r="S6" s="72" t="s">
        <v>9</v>
      </c>
      <c r="T6" s="72" t="s">
        <v>9</v>
      </c>
      <c r="U6" s="72" t="s">
        <v>22</v>
      </c>
      <c r="V6" s="72" t="s">
        <v>22</v>
      </c>
      <c r="W6" s="72" t="s">
        <v>8</v>
      </c>
      <c r="X6" s="72" t="s">
        <v>9</v>
      </c>
      <c r="Y6" s="72" t="s">
        <v>8</v>
      </c>
      <c r="Z6" s="72" t="s">
        <v>8</v>
      </c>
      <c r="AA6" s="72" t="s">
        <v>8</v>
      </c>
      <c r="AB6" s="72" t="s">
        <v>8</v>
      </c>
      <c r="AC6" s="72" t="s">
        <v>8</v>
      </c>
      <c r="AD6" s="72" t="s">
        <v>8</v>
      </c>
      <c r="AE6" s="72" t="s">
        <v>8</v>
      </c>
      <c r="AF6" s="72" t="s">
        <v>8</v>
      </c>
      <c r="AG6" s="72" t="s">
        <v>8</v>
      </c>
      <c r="AH6" s="72" t="s">
        <v>8</v>
      </c>
      <c r="AI6" s="13">
        <f>IF(COUNTA(D6:AH6)&gt;0,(COUNTA(D6:AH6)-COUNTIF(D6:AH6,"NB")-COUNTIF(D6:AH6,"DN")-COUNTIF(D6:AH6,"An")-COUNTIF(D6:AH6,"NB^")-COUNTIF(D6:AH6,0))/COUNTA(D6:AH6),"")</f>
        <v>1</v>
      </c>
    </row>
    <row r="7" spans="1:44" ht="15.75" customHeight="1" x14ac:dyDescent="0.25">
      <c r="A7" s="180" t="s">
        <v>10</v>
      </c>
      <c r="B7" s="181"/>
      <c r="C7" s="182"/>
      <c r="D7" s="73" t="s">
        <v>11</v>
      </c>
      <c r="E7" s="73" t="s">
        <v>11</v>
      </c>
      <c r="F7" s="73" t="s">
        <v>11</v>
      </c>
      <c r="G7" s="73" t="s">
        <v>11</v>
      </c>
      <c r="H7" s="73" t="s">
        <v>11</v>
      </c>
      <c r="I7" s="73" t="s">
        <v>11</v>
      </c>
      <c r="J7" s="73" t="s">
        <v>11</v>
      </c>
      <c r="K7" s="73" t="s">
        <v>11</v>
      </c>
      <c r="L7" s="73" t="s">
        <v>11</v>
      </c>
      <c r="M7" s="73" t="s">
        <v>11</v>
      </c>
      <c r="N7" s="73" t="s">
        <v>11</v>
      </c>
      <c r="O7" s="73" t="s">
        <v>11</v>
      </c>
      <c r="P7" s="73" t="s">
        <v>11</v>
      </c>
      <c r="Q7" s="73" t="s">
        <v>22</v>
      </c>
      <c r="R7" s="73" t="s">
        <v>9</v>
      </c>
      <c r="S7" s="73" t="s">
        <v>9</v>
      </c>
      <c r="T7" s="73" t="s">
        <v>9</v>
      </c>
      <c r="U7" s="73" t="s">
        <v>22</v>
      </c>
      <c r="V7" s="73" t="s">
        <v>22</v>
      </c>
      <c r="W7" s="73" t="s">
        <v>11</v>
      </c>
      <c r="X7" s="73" t="s">
        <v>11</v>
      </c>
      <c r="Y7" s="73" t="s">
        <v>11</v>
      </c>
      <c r="Z7" s="73" t="s">
        <v>11</v>
      </c>
      <c r="AA7" s="73" t="s">
        <v>11</v>
      </c>
      <c r="AB7" s="73" t="s">
        <v>11</v>
      </c>
      <c r="AC7" s="73" t="s">
        <v>11</v>
      </c>
      <c r="AD7" s="73" t="s">
        <v>11</v>
      </c>
      <c r="AE7" s="73" t="s">
        <v>11</v>
      </c>
      <c r="AF7" s="73" t="s">
        <v>11</v>
      </c>
      <c r="AG7" s="73" t="s">
        <v>11</v>
      </c>
      <c r="AH7" s="73" t="s">
        <v>11</v>
      </c>
      <c r="AI7" s="17">
        <f t="shared" ref="AI7:AI35" si="0">IF(COUNTA(D7:AH7)&gt;0,(COUNTA(D7:AH7)-COUNTIF(D7:AH7,"NB")-COUNTIF(D7:AH7,"DN")-COUNTIF(D7:AH7,"An")-COUNTIF(D7:AH7,"NB^")-COUNTIF(D7:AH7,0))/COUNTA(D7:AH7),"")</f>
        <v>1</v>
      </c>
    </row>
    <row r="8" spans="1:44" ht="15.75" customHeight="1" x14ac:dyDescent="0.25">
      <c r="A8" s="162" t="s">
        <v>93</v>
      </c>
      <c r="B8" s="163"/>
      <c r="C8" s="164"/>
      <c r="D8" s="18" t="s">
        <v>11</v>
      </c>
      <c r="E8" s="18" t="s">
        <v>11</v>
      </c>
      <c r="F8" s="18" t="s">
        <v>11</v>
      </c>
      <c r="G8" s="18" t="s">
        <v>11</v>
      </c>
      <c r="H8" s="18" t="s">
        <v>11</v>
      </c>
      <c r="I8" s="18" t="s">
        <v>11</v>
      </c>
      <c r="J8" s="18" t="s">
        <v>11</v>
      </c>
      <c r="K8" s="18" t="s">
        <v>11</v>
      </c>
      <c r="L8" s="18" t="s">
        <v>11</v>
      </c>
      <c r="M8" s="18" t="s">
        <v>11</v>
      </c>
      <c r="N8" s="18" t="s">
        <v>11</v>
      </c>
      <c r="O8" s="18" t="s">
        <v>11</v>
      </c>
      <c r="P8" s="18" t="s">
        <v>11</v>
      </c>
      <c r="Q8" s="18" t="s">
        <v>22</v>
      </c>
      <c r="R8" s="18" t="s">
        <v>11</v>
      </c>
      <c r="S8" s="18" t="s">
        <v>11</v>
      </c>
      <c r="T8" s="18" t="s">
        <v>11</v>
      </c>
      <c r="U8" s="18" t="s">
        <v>22</v>
      </c>
      <c r="V8" s="18" t="s">
        <v>22</v>
      </c>
      <c r="W8" s="18" t="s">
        <v>11</v>
      </c>
      <c r="X8" s="18" t="s">
        <v>11</v>
      </c>
      <c r="Y8" s="18" t="s">
        <v>11</v>
      </c>
      <c r="Z8" s="18" t="s">
        <v>11</v>
      </c>
      <c r="AA8" s="18" t="s">
        <v>11</v>
      </c>
      <c r="AB8" s="18" t="s">
        <v>11</v>
      </c>
      <c r="AC8" s="18" t="s">
        <v>11</v>
      </c>
      <c r="AD8" s="18" t="s">
        <v>11</v>
      </c>
      <c r="AE8" s="18" t="s">
        <v>11</v>
      </c>
      <c r="AF8" s="18" t="s">
        <v>11</v>
      </c>
      <c r="AG8" s="18" t="s">
        <v>11</v>
      </c>
      <c r="AH8" s="18" t="s">
        <v>11</v>
      </c>
      <c r="AI8" s="19">
        <f t="shared" si="0"/>
        <v>1</v>
      </c>
    </row>
    <row r="9" spans="1:44" ht="15.75" customHeight="1" x14ac:dyDescent="0.25">
      <c r="A9" s="174" t="s">
        <v>13</v>
      </c>
      <c r="B9" s="175"/>
      <c r="C9" s="176"/>
      <c r="D9" s="79" t="s">
        <v>11</v>
      </c>
      <c r="E9" s="79" t="s">
        <v>11</v>
      </c>
      <c r="F9" s="79" t="s">
        <v>11</v>
      </c>
      <c r="G9" s="79" t="s">
        <v>11</v>
      </c>
      <c r="H9" s="79" t="s">
        <v>11</v>
      </c>
      <c r="I9" s="79" t="s">
        <v>11</v>
      </c>
      <c r="J9" s="79" t="s">
        <v>11</v>
      </c>
      <c r="K9" s="79" t="s">
        <v>11</v>
      </c>
      <c r="L9" s="79" t="s">
        <v>11</v>
      </c>
      <c r="M9" s="79" t="s">
        <v>12</v>
      </c>
      <c r="N9" s="79" t="s">
        <v>12</v>
      </c>
      <c r="O9" s="79" t="s">
        <v>11</v>
      </c>
      <c r="P9" s="79" t="s">
        <v>12</v>
      </c>
      <c r="Q9" s="79" t="s">
        <v>12</v>
      </c>
      <c r="R9" s="79" t="s">
        <v>11</v>
      </c>
      <c r="S9" s="79" t="s">
        <v>11</v>
      </c>
      <c r="T9" s="79" t="s">
        <v>11</v>
      </c>
      <c r="U9" s="79" t="s">
        <v>11</v>
      </c>
      <c r="V9" s="79" t="s">
        <v>11</v>
      </c>
      <c r="W9" s="79" t="s">
        <v>11</v>
      </c>
      <c r="X9" s="79" t="s">
        <v>11</v>
      </c>
      <c r="Y9" s="79" t="s">
        <v>11</v>
      </c>
      <c r="Z9" s="79" t="s">
        <v>11</v>
      </c>
      <c r="AA9" s="79" t="s">
        <v>11</v>
      </c>
      <c r="AB9" s="79" t="s">
        <v>11</v>
      </c>
      <c r="AC9" s="79" t="s">
        <v>11</v>
      </c>
      <c r="AD9" s="79" t="s">
        <v>11</v>
      </c>
      <c r="AE9" s="79" t="s">
        <v>11</v>
      </c>
      <c r="AF9" s="79" t="s">
        <v>11</v>
      </c>
      <c r="AG9" s="79" t="s">
        <v>11</v>
      </c>
      <c r="AH9" s="79" t="s">
        <v>11</v>
      </c>
      <c r="AI9" s="13">
        <f t="shared" si="0"/>
        <v>0.87096774193548387</v>
      </c>
    </row>
    <row r="10" spans="1:44" ht="15.75" customHeight="1" x14ac:dyDescent="0.25">
      <c r="A10" s="177" t="s">
        <v>14</v>
      </c>
      <c r="B10" s="178"/>
      <c r="C10" s="179"/>
      <c r="D10" s="80" t="s">
        <v>11</v>
      </c>
      <c r="E10" s="80" t="s">
        <v>11</v>
      </c>
      <c r="F10" s="80" t="s">
        <v>11</v>
      </c>
      <c r="G10" s="80" t="s">
        <v>11</v>
      </c>
      <c r="H10" s="80" t="s">
        <v>11</v>
      </c>
      <c r="I10" s="80" t="s">
        <v>11</v>
      </c>
      <c r="J10" s="80" t="s">
        <v>11</v>
      </c>
      <c r="K10" s="80" t="s">
        <v>11</v>
      </c>
      <c r="L10" s="80" t="s">
        <v>11</v>
      </c>
      <c r="M10" s="80" t="s">
        <v>12</v>
      </c>
      <c r="N10" s="80" t="s">
        <v>12</v>
      </c>
      <c r="O10" s="80" t="s">
        <v>11</v>
      </c>
      <c r="P10" s="80" t="s">
        <v>12</v>
      </c>
      <c r="Q10" s="80" t="s">
        <v>12</v>
      </c>
      <c r="R10" s="80" t="s">
        <v>11</v>
      </c>
      <c r="S10" s="80" t="s">
        <v>11</v>
      </c>
      <c r="T10" s="80" t="s">
        <v>11</v>
      </c>
      <c r="U10" s="80" t="s">
        <v>11</v>
      </c>
      <c r="V10" s="80" t="s">
        <v>11</v>
      </c>
      <c r="W10" s="80" t="s">
        <v>11</v>
      </c>
      <c r="X10" s="80" t="s">
        <v>11</v>
      </c>
      <c r="Y10" s="80" t="s">
        <v>11</v>
      </c>
      <c r="Z10" s="80" t="s">
        <v>11</v>
      </c>
      <c r="AA10" s="80" t="s">
        <v>11</v>
      </c>
      <c r="AB10" s="80" t="s">
        <v>11</v>
      </c>
      <c r="AC10" s="80" t="s">
        <v>11</v>
      </c>
      <c r="AD10" s="80" t="s">
        <v>11</v>
      </c>
      <c r="AE10" s="80" t="s">
        <v>11</v>
      </c>
      <c r="AF10" s="80" t="s">
        <v>11</v>
      </c>
      <c r="AG10" s="80" t="s">
        <v>11</v>
      </c>
      <c r="AH10" s="80" t="s">
        <v>11</v>
      </c>
      <c r="AI10" s="21">
        <f t="shared" si="0"/>
        <v>0.87096774193548387</v>
      </c>
    </row>
    <row r="11" spans="1:44" ht="15.75" customHeight="1" x14ac:dyDescent="0.25">
      <c r="A11" s="177" t="s">
        <v>15</v>
      </c>
      <c r="B11" s="178"/>
      <c r="C11" s="179"/>
      <c r="D11" s="80" t="s">
        <v>11</v>
      </c>
      <c r="E11" s="80" t="s">
        <v>11</v>
      </c>
      <c r="F11" s="80" t="s">
        <v>11</v>
      </c>
      <c r="G11" s="80" t="s">
        <v>11</v>
      </c>
      <c r="H11" s="80" t="s">
        <v>11</v>
      </c>
      <c r="I11" s="80" t="s">
        <v>11</v>
      </c>
      <c r="J11" s="80" t="s">
        <v>11</v>
      </c>
      <c r="K11" s="80" t="s">
        <v>11</v>
      </c>
      <c r="L11" s="80" t="s">
        <v>11</v>
      </c>
      <c r="M11" s="80" t="s">
        <v>12</v>
      </c>
      <c r="N11" s="80" t="s">
        <v>12</v>
      </c>
      <c r="O11" s="80" t="s">
        <v>11</v>
      </c>
      <c r="P11" s="80" t="s">
        <v>12</v>
      </c>
      <c r="Q11" s="80" t="s">
        <v>12</v>
      </c>
      <c r="R11" s="80" t="s">
        <v>11</v>
      </c>
      <c r="S11" s="80" t="s">
        <v>11</v>
      </c>
      <c r="T11" s="80" t="s">
        <v>11</v>
      </c>
      <c r="U11" s="80" t="s">
        <v>11</v>
      </c>
      <c r="V11" s="80" t="s">
        <v>11</v>
      </c>
      <c r="W11" s="80" t="s">
        <v>11</v>
      </c>
      <c r="X11" s="80" t="s">
        <v>11</v>
      </c>
      <c r="Y11" s="80" t="s">
        <v>11</v>
      </c>
      <c r="Z11" s="80" t="s">
        <v>11</v>
      </c>
      <c r="AA11" s="80" t="s">
        <v>11</v>
      </c>
      <c r="AB11" s="80" t="s">
        <v>11</v>
      </c>
      <c r="AC11" s="80" t="s">
        <v>11</v>
      </c>
      <c r="AD11" s="80" t="s">
        <v>11</v>
      </c>
      <c r="AE11" s="80" t="s">
        <v>11</v>
      </c>
      <c r="AF11" s="80" t="s">
        <v>11</v>
      </c>
      <c r="AG11" s="80" t="s">
        <v>11</v>
      </c>
      <c r="AH11" s="80" t="s">
        <v>11</v>
      </c>
      <c r="AI11" s="21">
        <f t="shared" si="0"/>
        <v>0.87096774193548387</v>
      </c>
    </row>
    <row r="12" spans="1:44" ht="15.75" customHeight="1" x14ac:dyDescent="0.25">
      <c r="A12" s="177" t="s">
        <v>16</v>
      </c>
      <c r="B12" s="178"/>
      <c r="C12" s="179"/>
      <c r="D12" s="80" t="s">
        <v>11</v>
      </c>
      <c r="E12" s="80" t="s">
        <v>11</v>
      </c>
      <c r="F12" s="80" t="s">
        <v>11</v>
      </c>
      <c r="G12" s="80" t="s">
        <v>11</v>
      </c>
      <c r="H12" s="80" t="s">
        <v>11</v>
      </c>
      <c r="I12" s="80" t="s">
        <v>11</v>
      </c>
      <c r="J12" s="80" t="s">
        <v>11</v>
      </c>
      <c r="K12" s="80" t="s">
        <v>11</v>
      </c>
      <c r="L12" s="80" t="s">
        <v>11</v>
      </c>
      <c r="M12" s="80" t="s">
        <v>12</v>
      </c>
      <c r="N12" s="80" t="s">
        <v>12</v>
      </c>
      <c r="O12" s="80" t="s">
        <v>11</v>
      </c>
      <c r="P12" s="80" t="s">
        <v>12</v>
      </c>
      <c r="Q12" s="80" t="s">
        <v>12</v>
      </c>
      <c r="R12" s="80" t="s">
        <v>11</v>
      </c>
      <c r="S12" s="80" t="s">
        <v>11</v>
      </c>
      <c r="T12" s="80" t="s">
        <v>11</v>
      </c>
      <c r="U12" s="80" t="s">
        <v>11</v>
      </c>
      <c r="V12" s="80" t="s">
        <v>11</v>
      </c>
      <c r="W12" s="80" t="s">
        <v>11</v>
      </c>
      <c r="X12" s="80" t="s">
        <v>11</v>
      </c>
      <c r="Y12" s="80" t="s">
        <v>11</v>
      </c>
      <c r="Z12" s="80" t="s">
        <v>11</v>
      </c>
      <c r="AA12" s="80" t="s">
        <v>11</v>
      </c>
      <c r="AB12" s="80" t="s">
        <v>11</v>
      </c>
      <c r="AC12" s="80" t="s">
        <v>11</v>
      </c>
      <c r="AD12" s="80" t="s">
        <v>11</v>
      </c>
      <c r="AE12" s="80" t="s">
        <v>11</v>
      </c>
      <c r="AF12" s="80" t="s">
        <v>11</v>
      </c>
      <c r="AG12" s="80" t="s">
        <v>11</v>
      </c>
      <c r="AH12" s="80" t="s">
        <v>11</v>
      </c>
      <c r="AI12" s="21">
        <f t="shared" si="0"/>
        <v>0.87096774193548387</v>
      </c>
    </row>
    <row r="13" spans="1:44" ht="15.75" customHeight="1" x14ac:dyDescent="0.25">
      <c r="A13" s="177" t="s">
        <v>17</v>
      </c>
      <c r="B13" s="178"/>
      <c r="C13" s="179"/>
      <c r="D13" s="80" t="s">
        <v>11</v>
      </c>
      <c r="E13" s="80" t="s">
        <v>11</v>
      </c>
      <c r="F13" s="80" t="s">
        <v>11</v>
      </c>
      <c r="G13" s="80" t="s">
        <v>11</v>
      </c>
      <c r="H13" s="80" t="s">
        <v>11</v>
      </c>
      <c r="I13" s="80" t="s">
        <v>11</v>
      </c>
      <c r="J13" s="80" t="s">
        <v>11</v>
      </c>
      <c r="K13" s="80" t="s">
        <v>11</v>
      </c>
      <c r="L13" s="80" t="s">
        <v>11</v>
      </c>
      <c r="M13" s="80" t="s">
        <v>12</v>
      </c>
      <c r="N13" s="80" t="s">
        <v>12</v>
      </c>
      <c r="O13" s="80" t="s">
        <v>11</v>
      </c>
      <c r="P13" s="80" t="s">
        <v>12</v>
      </c>
      <c r="Q13" s="80" t="s">
        <v>12</v>
      </c>
      <c r="R13" s="80" t="s">
        <v>11</v>
      </c>
      <c r="S13" s="80" t="s">
        <v>11</v>
      </c>
      <c r="T13" s="80" t="s">
        <v>11</v>
      </c>
      <c r="U13" s="80" t="s">
        <v>11</v>
      </c>
      <c r="V13" s="80" t="s">
        <v>11</v>
      </c>
      <c r="W13" s="80" t="s">
        <v>11</v>
      </c>
      <c r="X13" s="80" t="s">
        <v>11</v>
      </c>
      <c r="Y13" s="80" t="s">
        <v>11</v>
      </c>
      <c r="Z13" s="80" t="s">
        <v>11</v>
      </c>
      <c r="AA13" s="80" t="s">
        <v>11</v>
      </c>
      <c r="AB13" s="80" t="s">
        <v>11</v>
      </c>
      <c r="AC13" s="80" t="s">
        <v>11</v>
      </c>
      <c r="AD13" s="80" t="s">
        <v>11</v>
      </c>
      <c r="AE13" s="80" t="s">
        <v>11</v>
      </c>
      <c r="AF13" s="80" t="s">
        <v>11</v>
      </c>
      <c r="AG13" s="80" t="s">
        <v>11</v>
      </c>
      <c r="AH13" s="80" t="s">
        <v>11</v>
      </c>
      <c r="AI13" s="21">
        <f t="shared" si="0"/>
        <v>0.87096774193548387</v>
      </c>
    </row>
    <row r="14" spans="1:44" ht="15.75" customHeight="1" x14ac:dyDescent="0.25">
      <c r="A14" s="180" t="s">
        <v>18</v>
      </c>
      <c r="B14" s="181"/>
      <c r="C14" s="182"/>
      <c r="D14" s="73" t="s">
        <v>11</v>
      </c>
      <c r="E14" s="73" t="s">
        <v>11</v>
      </c>
      <c r="F14" s="73" t="s">
        <v>11</v>
      </c>
      <c r="G14" s="73" t="s">
        <v>11</v>
      </c>
      <c r="H14" s="73" t="s">
        <v>11</v>
      </c>
      <c r="I14" s="73" t="s">
        <v>11</v>
      </c>
      <c r="J14" s="73" t="s">
        <v>11</v>
      </c>
      <c r="K14" s="73" t="s">
        <v>11</v>
      </c>
      <c r="L14" s="73" t="s">
        <v>11</v>
      </c>
      <c r="M14" s="73" t="s">
        <v>12</v>
      </c>
      <c r="N14" s="73" t="s">
        <v>12</v>
      </c>
      <c r="O14" s="73" t="s">
        <v>11</v>
      </c>
      <c r="P14" s="73" t="s">
        <v>12</v>
      </c>
      <c r="Q14" s="73" t="s">
        <v>12</v>
      </c>
      <c r="R14" s="73" t="s">
        <v>11</v>
      </c>
      <c r="S14" s="73" t="s">
        <v>11</v>
      </c>
      <c r="T14" s="73" t="s">
        <v>11</v>
      </c>
      <c r="U14" s="73" t="s">
        <v>11</v>
      </c>
      <c r="V14" s="73" t="s">
        <v>11</v>
      </c>
      <c r="W14" s="73" t="s">
        <v>11</v>
      </c>
      <c r="X14" s="73" t="s">
        <v>11</v>
      </c>
      <c r="Y14" s="73" t="s">
        <v>11</v>
      </c>
      <c r="Z14" s="73" t="s">
        <v>11</v>
      </c>
      <c r="AA14" s="73" t="s">
        <v>11</v>
      </c>
      <c r="AB14" s="73" t="s">
        <v>11</v>
      </c>
      <c r="AC14" s="73" t="s">
        <v>11</v>
      </c>
      <c r="AD14" s="73" t="s">
        <v>11</v>
      </c>
      <c r="AE14" s="73" t="s">
        <v>11</v>
      </c>
      <c r="AF14" s="73" t="s">
        <v>11</v>
      </c>
      <c r="AG14" s="73" t="s">
        <v>11</v>
      </c>
      <c r="AH14" s="73" t="s">
        <v>11</v>
      </c>
      <c r="AI14" s="17">
        <f t="shared" si="0"/>
        <v>0.87096774193548387</v>
      </c>
    </row>
    <row r="15" spans="1:44" ht="15.75" customHeight="1" x14ac:dyDescent="0.25">
      <c r="A15" s="174" t="s">
        <v>19</v>
      </c>
      <c r="B15" s="175"/>
      <c r="C15" s="176"/>
      <c r="D15" s="20" t="s">
        <v>11</v>
      </c>
      <c r="E15" s="20" t="s">
        <v>11</v>
      </c>
      <c r="F15" s="20" t="s">
        <v>11</v>
      </c>
      <c r="G15" s="20" t="s">
        <v>11</v>
      </c>
      <c r="H15" s="20" t="s">
        <v>11</v>
      </c>
      <c r="I15" s="20" t="s">
        <v>11</v>
      </c>
      <c r="J15" s="20" t="s">
        <v>11</v>
      </c>
      <c r="K15" s="20" t="s">
        <v>11</v>
      </c>
      <c r="L15" s="20" t="s">
        <v>11</v>
      </c>
      <c r="M15" s="20" t="s">
        <v>11</v>
      </c>
      <c r="N15" s="124" t="s">
        <v>11</v>
      </c>
      <c r="O15" s="124" t="s">
        <v>11</v>
      </c>
      <c r="P15" s="124" t="s">
        <v>11</v>
      </c>
      <c r="Q15" s="145" t="s">
        <v>82</v>
      </c>
      <c r="R15" s="79" t="s">
        <v>11</v>
      </c>
      <c r="S15" s="145" t="s">
        <v>82</v>
      </c>
      <c r="T15" s="145" t="s">
        <v>82</v>
      </c>
      <c r="U15" s="145" t="s">
        <v>82</v>
      </c>
      <c r="V15" s="145" t="s">
        <v>82</v>
      </c>
      <c r="W15" s="145" t="s">
        <v>82</v>
      </c>
      <c r="X15" s="145" t="s">
        <v>82</v>
      </c>
      <c r="Y15" s="20" t="s">
        <v>11</v>
      </c>
      <c r="Z15" s="20" t="s">
        <v>11</v>
      </c>
      <c r="AA15" s="20" t="s">
        <v>11</v>
      </c>
      <c r="AB15" s="20" t="s">
        <v>11</v>
      </c>
      <c r="AC15" s="20" t="s">
        <v>11</v>
      </c>
      <c r="AD15" s="20" t="s">
        <v>11</v>
      </c>
      <c r="AE15" s="20" t="s">
        <v>11</v>
      </c>
      <c r="AF15" s="20" t="s">
        <v>11</v>
      </c>
      <c r="AG15" s="124" t="s">
        <v>11</v>
      </c>
      <c r="AH15" s="124" t="s">
        <v>11</v>
      </c>
      <c r="AI15" s="13">
        <f t="shared" si="0"/>
        <v>0.77419354838709675</v>
      </c>
    </row>
    <row r="16" spans="1:44" ht="15.75" customHeight="1" x14ac:dyDescent="0.25">
      <c r="A16" s="177" t="s">
        <v>20</v>
      </c>
      <c r="B16" s="178"/>
      <c r="C16" s="179"/>
      <c r="D16" s="16" t="s">
        <v>11</v>
      </c>
      <c r="E16" s="16" t="s">
        <v>11</v>
      </c>
      <c r="F16" s="16" t="s">
        <v>11</v>
      </c>
      <c r="G16" s="16" t="s">
        <v>11</v>
      </c>
      <c r="H16" s="16" t="s">
        <v>11</v>
      </c>
      <c r="I16" s="16" t="s">
        <v>11</v>
      </c>
      <c r="J16" s="16" t="s">
        <v>11</v>
      </c>
      <c r="K16" s="16" t="s">
        <v>11</v>
      </c>
      <c r="L16" s="16" t="s">
        <v>11</v>
      </c>
      <c r="M16" s="16" t="s">
        <v>11</v>
      </c>
      <c r="N16" s="123" t="s">
        <v>11</v>
      </c>
      <c r="O16" s="123" t="s">
        <v>11</v>
      </c>
      <c r="P16" s="123" t="s">
        <v>11</v>
      </c>
      <c r="Q16" s="146" t="s">
        <v>82</v>
      </c>
      <c r="R16" s="146" t="s">
        <v>82</v>
      </c>
      <c r="S16" s="146" t="s">
        <v>82</v>
      </c>
      <c r="T16" s="146" t="s">
        <v>82</v>
      </c>
      <c r="U16" s="146" t="s">
        <v>82</v>
      </c>
      <c r="V16" s="146" t="s">
        <v>82</v>
      </c>
      <c r="W16" s="146" t="s">
        <v>82</v>
      </c>
      <c r="X16" s="146" t="s">
        <v>82</v>
      </c>
      <c r="Y16" s="16" t="s">
        <v>11</v>
      </c>
      <c r="Z16" s="16" t="s">
        <v>11</v>
      </c>
      <c r="AA16" s="16" t="s">
        <v>11</v>
      </c>
      <c r="AB16" s="16" t="s">
        <v>11</v>
      </c>
      <c r="AC16" s="16" t="s">
        <v>11</v>
      </c>
      <c r="AD16" s="16" t="s">
        <v>11</v>
      </c>
      <c r="AE16" s="16" t="s">
        <v>11</v>
      </c>
      <c r="AF16" s="16" t="s">
        <v>11</v>
      </c>
      <c r="AG16" s="123" t="s">
        <v>11</v>
      </c>
      <c r="AH16" s="123" t="s">
        <v>11</v>
      </c>
      <c r="AI16" s="21">
        <f t="shared" si="0"/>
        <v>0.74193548387096775</v>
      </c>
    </row>
    <row r="17" spans="1:35" ht="15.75" customHeight="1" x14ac:dyDescent="0.25">
      <c r="A17" s="180" t="s">
        <v>92</v>
      </c>
      <c r="B17" s="181"/>
      <c r="C17" s="182"/>
      <c r="D17" s="16" t="s">
        <v>11</v>
      </c>
      <c r="E17" s="16" t="s">
        <v>11</v>
      </c>
      <c r="F17" s="16" t="s">
        <v>11</v>
      </c>
      <c r="G17" s="16" t="s">
        <v>11</v>
      </c>
      <c r="H17" s="16" t="s">
        <v>11</v>
      </c>
      <c r="I17" s="16" t="s">
        <v>11</v>
      </c>
      <c r="J17" s="16" t="s">
        <v>11</v>
      </c>
      <c r="K17" s="16" t="s">
        <v>11</v>
      </c>
      <c r="L17" s="16" t="s">
        <v>11</v>
      </c>
      <c r="M17" s="16" t="s">
        <v>11</v>
      </c>
      <c r="N17" s="123" t="s">
        <v>11</v>
      </c>
      <c r="O17" s="123" t="s">
        <v>11</v>
      </c>
      <c r="P17" s="123" t="s">
        <v>11</v>
      </c>
      <c r="Q17" s="146" t="s">
        <v>82</v>
      </c>
      <c r="R17" s="146" t="s">
        <v>82</v>
      </c>
      <c r="S17" s="146" t="s">
        <v>82</v>
      </c>
      <c r="T17" s="146" t="s">
        <v>82</v>
      </c>
      <c r="U17" s="146" t="s">
        <v>82</v>
      </c>
      <c r="V17" s="146" t="s">
        <v>82</v>
      </c>
      <c r="W17" s="146" t="s">
        <v>82</v>
      </c>
      <c r="X17" s="146" t="s">
        <v>82</v>
      </c>
      <c r="Y17" s="16" t="s">
        <v>11</v>
      </c>
      <c r="Z17" s="16" t="s">
        <v>11</v>
      </c>
      <c r="AA17" s="16" t="s">
        <v>11</v>
      </c>
      <c r="AB17" s="16" t="s">
        <v>11</v>
      </c>
      <c r="AC17" s="16" t="s">
        <v>11</v>
      </c>
      <c r="AD17" s="16" t="s">
        <v>11</v>
      </c>
      <c r="AE17" s="16" t="s">
        <v>11</v>
      </c>
      <c r="AF17" s="16" t="s">
        <v>11</v>
      </c>
      <c r="AG17" s="123" t="s">
        <v>11</v>
      </c>
      <c r="AH17" s="123" t="s">
        <v>11</v>
      </c>
      <c r="AI17" s="17">
        <f t="shared" si="0"/>
        <v>0.74193548387096775</v>
      </c>
    </row>
    <row r="18" spans="1:35" ht="15.75" customHeight="1" x14ac:dyDescent="0.25">
      <c r="A18" s="174" t="s">
        <v>21</v>
      </c>
      <c r="B18" s="175"/>
      <c r="C18" s="176"/>
      <c r="D18" s="79" t="s">
        <v>11</v>
      </c>
      <c r="E18" s="79" t="s">
        <v>11</v>
      </c>
      <c r="F18" s="79" t="s">
        <v>11</v>
      </c>
      <c r="G18" s="79" t="s">
        <v>11</v>
      </c>
      <c r="H18" s="79" t="s">
        <v>11</v>
      </c>
      <c r="I18" s="79" t="s">
        <v>11</v>
      </c>
      <c r="J18" s="79" t="s">
        <v>11</v>
      </c>
      <c r="K18" s="79" t="s">
        <v>11</v>
      </c>
      <c r="L18" s="79" t="s">
        <v>11</v>
      </c>
      <c r="M18" s="79" t="s">
        <v>11</v>
      </c>
      <c r="N18" s="79" t="s">
        <v>11</v>
      </c>
      <c r="O18" s="79" t="s">
        <v>11</v>
      </c>
      <c r="P18" s="79" t="s">
        <v>11</v>
      </c>
      <c r="Q18" s="79" t="s">
        <v>22</v>
      </c>
      <c r="R18" s="20" t="s">
        <v>22</v>
      </c>
      <c r="S18" s="20" t="s">
        <v>22</v>
      </c>
      <c r="T18" s="20" t="s">
        <v>22</v>
      </c>
      <c r="U18" s="20" t="s">
        <v>22</v>
      </c>
      <c r="V18" s="20" t="s">
        <v>22</v>
      </c>
      <c r="W18" s="22" t="s">
        <v>11</v>
      </c>
      <c r="X18" s="22" t="s">
        <v>11</v>
      </c>
      <c r="Y18" s="79" t="s">
        <v>11</v>
      </c>
      <c r="Z18" s="79" t="s">
        <v>11</v>
      </c>
      <c r="AA18" s="79" t="s">
        <v>11</v>
      </c>
      <c r="AB18" s="79" t="s">
        <v>11</v>
      </c>
      <c r="AC18" s="79" t="s">
        <v>11</v>
      </c>
      <c r="AD18" s="79" t="s">
        <v>11</v>
      </c>
      <c r="AE18" s="79" t="s">
        <v>11</v>
      </c>
      <c r="AF18" s="79" t="s">
        <v>11</v>
      </c>
      <c r="AG18" s="20" t="s">
        <v>11</v>
      </c>
      <c r="AH18" s="20" t="s">
        <v>11</v>
      </c>
      <c r="AI18" s="13">
        <f t="shared" si="0"/>
        <v>1</v>
      </c>
    </row>
    <row r="19" spans="1:35" ht="15.75" customHeight="1" x14ac:dyDescent="0.25">
      <c r="A19" s="177" t="s">
        <v>23</v>
      </c>
      <c r="B19" s="178"/>
      <c r="C19" s="179"/>
      <c r="D19" s="16" t="s">
        <v>11</v>
      </c>
      <c r="E19" s="16" t="s">
        <v>11</v>
      </c>
      <c r="F19" s="16" t="s">
        <v>11</v>
      </c>
      <c r="G19" s="16" t="s">
        <v>11</v>
      </c>
      <c r="H19" s="16" t="s">
        <v>11</v>
      </c>
      <c r="I19" s="16" t="s">
        <v>11</v>
      </c>
      <c r="J19" s="16" t="s">
        <v>11</v>
      </c>
      <c r="K19" s="16" t="s">
        <v>11</v>
      </c>
      <c r="L19" s="16" t="s">
        <v>11</v>
      </c>
      <c r="M19" s="16" t="s">
        <v>11</v>
      </c>
      <c r="N19" s="80" t="s">
        <v>11</v>
      </c>
      <c r="O19" s="80" t="s">
        <v>11</v>
      </c>
      <c r="P19" s="80" t="s">
        <v>11</v>
      </c>
      <c r="Q19" s="80" t="s">
        <v>22</v>
      </c>
      <c r="R19" s="16" t="s">
        <v>22</v>
      </c>
      <c r="S19" s="16" t="s">
        <v>22</v>
      </c>
      <c r="T19" s="16" t="s">
        <v>22</v>
      </c>
      <c r="U19" s="16" t="s">
        <v>22</v>
      </c>
      <c r="V19" s="16" t="s">
        <v>22</v>
      </c>
      <c r="W19" s="23" t="s">
        <v>11</v>
      </c>
      <c r="X19" s="23" t="s">
        <v>11</v>
      </c>
      <c r="Y19" s="16" t="s">
        <v>11</v>
      </c>
      <c r="Z19" s="16" t="s">
        <v>11</v>
      </c>
      <c r="AA19" s="16" t="s">
        <v>11</v>
      </c>
      <c r="AB19" s="16" t="s">
        <v>11</v>
      </c>
      <c r="AC19" s="16" t="s">
        <v>11</v>
      </c>
      <c r="AD19" s="16" t="s">
        <v>11</v>
      </c>
      <c r="AE19" s="16" t="s">
        <v>11</v>
      </c>
      <c r="AF19" s="16" t="s">
        <v>11</v>
      </c>
      <c r="AG19" s="16" t="s">
        <v>11</v>
      </c>
      <c r="AH19" s="16" t="s">
        <v>11</v>
      </c>
      <c r="AI19" s="21">
        <f t="shared" si="0"/>
        <v>1</v>
      </c>
    </row>
    <row r="20" spans="1:35" ht="15.75" customHeight="1" x14ac:dyDescent="0.25">
      <c r="A20" s="177" t="s">
        <v>24</v>
      </c>
      <c r="B20" s="178"/>
      <c r="C20" s="179"/>
      <c r="D20" s="16" t="s">
        <v>11</v>
      </c>
      <c r="E20" s="16" t="s">
        <v>11</v>
      </c>
      <c r="F20" s="16" t="s">
        <v>11</v>
      </c>
      <c r="G20" s="16" t="s">
        <v>11</v>
      </c>
      <c r="H20" s="16" t="s">
        <v>11</v>
      </c>
      <c r="I20" s="16" t="s">
        <v>11</v>
      </c>
      <c r="J20" s="16" t="s">
        <v>11</v>
      </c>
      <c r="K20" s="16" t="s">
        <v>11</v>
      </c>
      <c r="L20" s="16" t="s">
        <v>11</v>
      </c>
      <c r="M20" s="16" t="s">
        <v>11</v>
      </c>
      <c r="N20" s="80" t="s">
        <v>11</v>
      </c>
      <c r="O20" s="80" t="s">
        <v>11</v>
      </c>
      <c r="P20" s="80" t="s">
        <v>11</v>
      </c>
      <c r="Q20" s="80" t="s">
        <v>22</v>
      </c>
      <c r="R20" s="80" t="s">
        <v>22</v>
      </c>
      <c r="S20" s="80" t="s">
        <v>22</v>
      </c>
      <c r="T20" s="80" t="s">
        <v>22</v>
      </c>
      <c r="U20" s="80" t="s">
        <v>22</v>
      </c>
      <c r="V20" s="80" t="s">
        <v>22</v>
      </c>
      <c r="W20" s="23" t="s">
        <v>11</v>
      </c>
      <c r="X20" s="23" t="s">
        <v>11</v>
      </c>
      <c r="Y20" s="16" t="s">
        <v>11</v>
      </c>
      <c r="Z20" s="16" t="s">
        <v>11</v>
      </c>
      <c r="AA20" s="16" t="s">
        <v>11</v>
      </c>
      <c r="AB20" s="16" t="s">
        <v>11</v>
      </c>
      <c r="AC20" s="16" t="s">
        <v>11</v>
      </c>
      <c r="AD20" s="16" t="s">
        <v>11</v>
      </c>
      <c r="AE20" s="16" t="s">
        <v>11</v>
      </c>
      <c r="AF20" s="16" t="s">
        <v>11</v>
      </c>
      <c r="AG20" s="80" t="s">
        <v>11</v>
      </c>
      <c r="AH20" s="80" t="s">
        <v>11</v>
      </c>
      <c r="AI20" s="21">
        <f t="shared" si="0"/>
        <v>1</v>
      </c>
    </row>
    <row r="21" spans="1:35" ht="15.75" customHeight="1" x14ac:dyDescent="0.25">
      <c r="A21" s="180" t="s">
        <v>25</v>
      </c>
      <c r="B21" s="181"/>
      <c r="C21" s="182"/>
      <c r="D21" s="73" t="s">
        <v>11</v>
      </c>
      <c r="E21" s="73" t="s">
        <v>11</v>
      </c>
      <c r="F21" s="73" t="s">
        <v>11</v>
      </c>
      <c r="G21" s="73" t="s">
        <v>11</v>
      </c>
      <c r="H21" s="73" t="s">
        <v>11</v>
      </c>
      <c r="I21" s="73" t="s">
        <v>11</v>
      </c>
      <c r="J21" s="73" t="s">
        <v>11</v>
      </c>
      <c r="K21" s="73" t="s">
        <v>11</v>
      </c>
      <c r="L21" s="73" t="s">
        <v>11</v>
      </c>
      <c r="M21" s="73" t="s">
        <v>11</v>
      </c>
      <c r="N21" s="73" t="s">
        <v>11</v>
      </c>
      <c r="O21" s="73" t="s">
        <v>11</v>
      </c>
      <c r="P21" s="73" t="s">
        <v>11</v>
      </c>
      <c r="Q21" s="73" t="s">
        <v>22</v>
      </c>
      <c r="R21" s="73" t="s">
        <v>22</v>
      </c>
      <c r="S21" s="73" t="s">
        <v>22</v>
      </c>
      <c r="T21" s="73" t="s">
        <v>22</v>
      </c>
      <c r="U21" s="73" t="s">
        <v>22</v>
      </c>
      <c r="V21" s="73" t="s">
        <v>22</v>
      </c>
      <c r="W21" s="14" t="s">
        <v>11</v>
      </c>
      <c r="X21" s="14" t="s">
        <v>11</v>
      </c>
      <c r="Y21" s="73" t="s">
        <v>11</v>
      </c>
      <c r="Z21" s="73" t="s">
        <v>11</v>
      </c>
      <c r="AA21" s="73" t="s">
        <v>11</v>
      </c>
      <c r="AB21" s="73" t="s">
        <v>11</v>
      </c>
      <c r="AC21" s="73" t="s">
        <v>11</v>
      </c>
      <c r="AD21" s="73" t="s">
        <v>11</v>
      </c>
      <c r="AE21" s="73" t="s">
        <v>11</v>
      </c>
      <c r="AF21" s="73" t="s">
        <v>11</v>
      </c>
      <c r="AG21" s="73" t="s">
        <v>11</v>
      </c>
      <c r="AH21" s="73" t="s">
        <v>11</v>
      </c>
      <c r="AI21" s="17">
        <f t="shared" si="0"/>
        <v>1</v>
      </c>
    </row>
    <row r="22" spans="1:35" ht="15.75" customHeight="1" x14ac:dyDescent="0.25">
      <c r="A22" s="162" t="s">
        <v>26</v>
      </c>
      <c r="B22" s="163"/>
      <c r="C22" s="164"/>
      <c r="D22" s="81" t="s">
        <v>11</v>
      </c>
      <c r="E22" s="81" t="s">
        <v>12</v>
      </c>
      <c r="F22" s="81" t="s">
        <v>12</v>
      </c>
      <c r="G22" s="81" t="s">
        <v>12</v>
      </c>
      <c r="H22" s="81" t="s">
        <v>11</v>
      </c>
      <c r="I22" s="81" t="s">
        <v>11</v>
      </c>
      <c r="J22" s="81" t="s">
        <v>12</v>
      </c>
      <c r="K22" s="81" t="s">
        <v>12</v>
      </c>
      <c r="L22" s="81" t="s">
        <v>11</v>
      </c>
      <c r="M22" s="81" t="s">
        <v>11</v>
      </c>
      <c r="N22" s="81" t="s">
        <v>11</v>
      </c>
      <c r="O22" s="81" t="s">
        <v>11</v>
      </c>
      <c r="P22" s="81" t="s">
        <v>11</v>
      </c>
      <c r="Q22" s="81" t="s">
        <v>11</v>
      </c>
      <c r="R22" s="81" t="s">
        <v>11</v>
      </c>
      <c r="S22" s="81" t="s">
        <v>11</v>
      </c>
      <c r="T22" s="81" t="s">
        <v>11</v>
      </c>
      <c r="U22" s="81" t="s">
        <v>12</v>
      </c>
      <c r="V22" s="81" t="s">
        <v>12</v>
      </c>
      <c r="W22" s="81" t="s">
        <v>11</v>
      </c>
      <c r="X22" s="81" t="s">
        <v>11</v>
      </c>
      <c r="Y22" s="81" t="s">
        <v>11</v>
      </c>
      <c r="Z22" s="81" t="s">
        <v>11</v>
      </c>
      <c r="AA22" s="81" t="s">
        <v>11</v>
      </c>
      <c r="AB22" s="81" t="s">
        <v>11</v>
      </c>
      <c r="AC22" s="81" t="s">
        <v>11</v>
      </c>
      <c r="AD22" s="81" t="s">
        <v>11</v>
      </c>
      <c r="AE22" s="81" t="s">
        <v>11</v>
      </c>
      <c r="AF22" s="81" t="s">
        <v>11</v>
      </c>
      <c r="AG22" s="81" t="s">
        <v>11</v>
      </c>
      <c r="AH22" s="81" t="s">
        <v>11</v>
      </c>
      <c r="AI22" s="19">
        <f t="shared" si="0"/>
        <v>0.77419354838709675</v>
      </c>
    </row>
    <row r="23" spans="1:35" ht="15.75" customHeight="1" x14ac:dyDescent="0.25">
      <c r="A23" s="174" t="s">
        <v>27</v>
      </c>
      <c r="B23" s="175"/>
      <c r="C23" s="176"/>
      <c r="D23" s="20" t="s">
        <v>12</v>
      </c>
      <c r="E23" s="20" t="s">
        <v>11</v>
      </c>
      <c r="F23" s="20" t="s">
        <v>11</v>
      </c>
      <c r="G23" s="20" t="s">
        <v>11</v>
      </c>
      <c r="H23" s="20" t="s">
        <v>11</v>
      </c>
      <c r="I23" s="20" t="s">
        <v>11</v>
      </c>
      <c r="J23" s="20" t="s">
        <v>11</v>
      </c>
      <c r="K23" s="20" t="s">
        <v>11</v>
      </c>
      <c r="L23" s="20" t="s">
        <v>11</v>
      </c>
      <c r="M23" s="20" t="s">
        <v>11</v>
      </c>
      <c r="N23" s="20" t="s">
        <v>11</v>
      </c>
      <c r="O23" s="20" t="s">
        <v>11</v>
      </c>
      <c r="P23" s="20" t="s">
        <v>11</v>
      </c>
      <c r="Q23" s="20" t="s">
        <v>11</v>
      </c>
      <c r="R23" s="20" t="s">
        <v>11</v>
      </c>
      <c r="S23" s="20" t="s">
        <v>11</v>
      </c>
      <c r="T23" s="20" t="s">
        <v>11</v>
      </c>
      <c r="U23" s="20" t="s">
        <v>12</v>
      </c>
      <c r="V23" s="20" t="s">
        <v>12</v>
      </c>
      <c r="W23" s="20" t="s">
        <v>12</v>
      </c>
      <c r="X23" s="20" t="s">
        <v>11</v>
      </c>
      <c r="Y23" s="20" t="s">
        <v>11</v>
      </c>
      <c r="Z23" s="20" t="s">
        <v>11</v>
      </c>
      <c r="AA23" s="20" t="s">
        <v>11</v>
      </c>
      <c r="AB23" s="20" t="s">
        <v>11</v>
      </c>
      <c r="AC23" s="20" t="s">
        <v>11</v>
      </c>
      <c r="AD23" s="20" t="s">
        <v>11</v>
      </c>
      <c r="AE23" s="20" t="s">
        <v>11</v>
      </c>
      <c r="AF23" s="20" t="s">
        <v>11</v>
      </c>
      <c r="AG23" s="22" t="s">
        <v>11</v>
      </c>
      <c r="AH23" s="22" t="s">
        <v>11</v>
      </c>
      <c r="AI23" s="13">
        <f t="shared" si="0"/>
        <v>0.87096774193548387</v>
      </c>
    </row>
    <row r="24" spans="1:35" ht="15.75" customHeight="1" x14ac:dyDescent="0.25">
      <c r="A24" s="180" t="s">
        <v>28</v>
      </c>
      <c r="B24" s="181"/>
      <c r="C24" s="182"/>
      <c r="D24" s="15" t="s">
        <v>12</v>
      </c>
      <c r="E24" s="15" t="s">
        <v>11</v>
      </c>
      <c r="F24" s="15" t="s">
        <v>11</v>
      </c>
      <c r="G24" s="15" t="s">
        <v>11</v>
      </c>
      <c r="H24" s="15" t="s">
        <v>11</v>
      </c>
      <c r="I24" s="15" t="s">
        <v>12</v>
      </c>
      <c r="J24" s="15" t="s">
        <v>11</v>
      </c>
      <c r="K24" s="15" t="s">
        <v>11</v>
      </c>
      <c r="L24" s="15" t="s">
        <v>12</v>
      </c>
      <c r="M24" s="15" t="s">
        <v>12</v>
      </c>
      <c r="N24" s="15" t="s">
        <v>12</v>
      </c>
      <c r="O24" s="15" t="s">
        <v>12</v>
      </c>
      <c r="P24" s="15" t="s">
        <v>12</v>
      </c>
      <c r="Q24" s="15" t="s">
        <v>12</v>
      </c>
      <c r="R24" s="15" t="s">
        <v>12</v>
      </c>
      <c r="S24" s="15" t="s">
        <v>12</v>
      </c>
      <c r="T24" s="15" t="s">
        <v>12</v>
      </c>
      <c r="U24" s="15" t="s">
        <v>12</v>
      </c>
      <c r="V24" s="15" t="s">
        <v>12</v>
      </c>
      <c r="W24" s="15" t="s">
        <v>12</v>
      </c>
      <c r="X24" s="15" t="s">
        <v>11</v>
      </c>
      <c r="Y24" s="15" t="s">
        <v>11</v>
      </c>
      <c r="Z24" s="15" t="s">
        <v>11</v>
      </c>
      <c r="AA24" s="15" t="s">
        <v>11</v>
      </c>
      <c r="AB24" s="15" t="s">
        <v>11</v>
      </c>
      <c r="AC24" s="15" t="s">
        <v>11</v>
      </c>
      <c r="AD24" s="15" t="s">
        <v>11</v>
      </c>
      <c r="AE24" s="15" t="s">
        <v>11</v>
      </c>
      <c r="AF24" s="15" t="s">
        <v>11</v>
      </c>
      <c r="AG24" s="14" t="s">
        <v>11</v>
      </c>
      <c r="AH24" s="14" t="s">
        <v>11</v>
      </c>
      <c r="AI24" s="17">
        <f t="shared" si="0"/>
        <v>0.54838709677419351</v>
      </c>
    </row>
    <row r="25" spans="1:35" ht="15.75" customHeight="1" x14ac:dyDescent="0.25">
      <c r="A25" s="162" t="s">
        <v>29</v>
      </c>
      <c r="B25" s="163"/>
      <c r="C25" s="164"/>
      <c r="D25" s="25" t="s">
        <v>11</v>
      </c>
      <c r="E25" s="25" t="s">
        <v>11</v>
      </c>
      <c r="F25" s="25" t="s">
        <v>11</v>
      </c>
      <c r="G25" s="25" t="s">
        <v>11</v>
      </c>
      <c r="H25" s="25" t="s">
        <v>11</v>
      </c>
      <c r="I25" s="25" t="s">
        <v>11</v>
      </c>
      <c r="J25" s="25" t="s">
        <v>11</v>
      </c>
      <c r="K25" s="25" t="s">
        <v>11</v>
      </c>
      <c r="L25" s="25" t="s">
        <v>11</v>
      </c>
      <c r="M25" s="25" t="s">
        <v>11</v>
      </c>
      <c r="N25" s="25" t="s">
        <v>11</v>
      </c>
      <c r="O25" s="25" t="s">
        <v>11</v>
      </c>
      <c r="P25" s="25" t="s">
        <v>11</v>
      </c>
      <c r="Q25" s="25" t="s">
        <v>11</v>
      </c>
      <c r="R25" s="25" t="s">
        <v>11</v>
      </c>
      <c r="S25" s="25" t="s">
        <v>22</v>
      </c>
      <c r="T25" s="25" t="s">
        <v>22</v>
      </c>
      <c r="U25" s="25" t="s">
        <v>12</v>
      </c>
      <c r="V25" s="25" t="s">
        <v>12</v>
      </c>
      <c r="W25" s="25" t="s">
        <v>11</v>
      </c>
      <c r="X25" s="25" t="s">
        <v>11</v>
      </c>
      <c r="Y25" s="25" t="s">
        <v>11</v>
      </c>
      <c r="Z25" s="25" t="s">
        <v>11</v>
      </c>
      <c r="AA25" s="25" t="s">
        <v>11</v>
      </c>
      <c r="AB25" s="25" t="s">
        <v>11</v>
      </c>
      <c r="AC25" s="25" t="s">
        <v>11</v>
      </c>
      <c r="AD25" s="25" t="s">
        <v>11</v>
      </c>
      <c r="AE25" s="25" t="s">
        <v>11</v>
      </c>
      <c r="AF25" s="25" t="s">
        <v>11</v>
      </c>
      <c r="AG25" s="81" t="s">
        <v>11</v>
      </c>
      <c r="AH25" s="81" t="s">
        <v>11</v>
      </c>
      <c r="AI25" s="19">
        <f t="shared" si="0"/>
        <v>0.93548387096774188</v>
      </c>
    </row>
    <row r="26" spans="1:35" ht="15.75" customHeight="1" x14ac:dyDescent="0.25">
      <c r="A26" s="162" t="s">
        <v>30</v>
      </c>
      <c r="B26" s="163"/>
      <c r="C26" s="164"/>
      <c r="D26" s="25" t="s">
        <v>11</v>
      </c>
      <c r="E26" s="25" t="s">
        <v>11</v>
      </c>
      <c r="F26" s="25" t="s">
        <v>11</v>
      </c>
      <c r="G26" s="25" t="s">
        <v>11</v>
      </c>
      <c r="H26" s="25" t="s">
        <v>11</v>
      </c>
      <c r="I26" s="25" t="s">
        <v>11</v>
      </c>
      <c r="J26" s="25" t="s">
        <v>11</v>
      </c>
      <c r="K26" s="25" t="s">
        <v>11</v>
      </c>
      <c r="L26" s="25" t="s">
        <v>11</v>
      </c>
      <c r="M26" s="25" t="s">
        <v>11</v>
      </c>
      <c r="N26" s="25" t="s">
        <v>11</v>
      </c>
      <c r="O26" s="81" t="s">
        <v>11</v>
      </c>
      <c r="P26" s="81" t="s">
        <v>11</v>
      </c>
      <c r="Q26" s="81" t="s">
        <v>11</v>
      </c>
      <c r="R26" s="81" t="s">
        <v>11</v>
      </c>
      <c r="S26" s="81" t="s">
        <v>22</v>
      </c>
      <c r="T26" s="81" t="s">
        <v>22</v>
      </c>
      <c r="U26" s="81" t="s">
        <v>12</v>
      </c>
      <c r="V26" s="81" t="s">
        <v>12</v>
      </c>
      <c r="W26" s="81" t="s">
        <v>11</v>
      </c>
      <c r="X26" s="81" t="s">
        <v>11</v>
      </c>
      <c r="Y26" s="25" t="s">
        <v>11</v>
      </c>
      <c r="Z26" s="25" t="s">
        <v>11</v>
      </c>
      <c r="AA26" s="25" t="s">
        <v>11</v>
      </c>
      <c r="AB26" s="25" t="s">
        <v>11</v>
      </c>
      <c r="AC26" s="25" t="s">
        <v>11</v>
      </c>
      <c r="AD26" s="25" t="s">
        <v>11</v>
      </c>
      <c r="AE26" s="25" t="s">
        <v>11</v>
      </c>
      <c r="AF26" s="25" t="s">
        <v>11</v>
      </c>
      <c r="AG26" s="81" t="s">
        <v>11</v>
      </c>
      <c r="AH26" s="81" t="s">
        <v>11</v>
      </c>
      <c r="AI26" s="19">
        <f t="shared" si="0"/>
        <v>0.93548387096774188</v>
      </c>
    </row>
    <row r="27" spans="1:35" ht="15.75" customHeight="1" x14ac:dyDescent="0.25">
      <c r="A27" s="156" t="s">
        <v>31</v>
      </c>
      <c r="B27" s="157"/>
      <c r="C27" s="158"/>
      <c r="D27" s="72" t="s">
        <v>8</v>
      </c>
      <c r="E27" s="72" t="s">
        <v>8</v>
      </c>
      <c r="F27" s="72" t="s">
        <v>8</v>
      </c>
      <c r="G27" s="72" t="s">
        <v>8</v>
      </c>
      <c r="H27" s="72" t="s">
        <v>8</v>
      </c>
      <c r="I27" s="72" t="s">
        <v>8</v>
      </c>
      <c r="J27" s="72" t="s">
        <v>8</v>
      </c>
      <c r="K27" s="72" t="s">
        <v>9</v>
      </c>
      <c r="L27" s="72" t="s">
        <v>9</v>
      </c>
      <c r="M27" s="72" t="s">
        <v>9</v>
      </c>
      <c r="N27" s="72" t="s">
        <v>9</v>
      </c>
      <c r="O27" s="72" t="s">
        <v>8</v>
      </c>
      <c r="P27" s="72" t="s">
        <v>8</v>
      </c>
      <c r="Q27" s="72" t="s">
        <v>22</v>
      </c>
      <c r="R27" s="72" t="s">
        <v>9</v>
      </c>
      <c r="S27" s="72" t="s">
        <v>9</v>
      </c>
      <c r="T27" s="72" t="s">
        <v>9</v>
      </c>
      <c r="U27" s="72" t="s">
        <v>22</v>
      </c>
      <c r="V27" s="72" t="s">
        <v>22</v>
      </c>
      <c r="W27" s="72" t="s">
        <v>8</v>
      </c>
      <c r="X27" s="72" t="s">
        <v>9</v>
      </c>
      <c r="Y27" s="72" t="s">
        <v>8</v>
      </c>
      <c r="Z27" s="72" t="s">
        <v>8</v>
      </c>
      <c r="AA27" s="72" t="s">
        <v>8</v>
      </c>
      <c r="AB27" s="72" t="s">
        <v>8</v>
      </c>
      <c r="AC27" s="72" t="s">
        <v>8</v>
      </c>
      <c r="AD27" s="72" t="s">
        <v>8</v>
      </c>
      <c r="AE27" s="72" t="s">
        <v>8</v>
      </c>
      <c r="AF27" s="72" t="s">
        <v>8</v>
      </c>
      <c r="AG27" s="72" t="s">
        <v>8</v>
      </c>
      <c r="AH27" s="72" t="s">
        <v>8</v>
      </c>
      <c r="AI27" s="13">
        <f t="shared" si="0"/>
        <v>1</v>
      </c>
    </row>
    <row r="28" spans="1:35" ht="15.75" customHeight="1" x14ac:dyDescent="0.25">
      <c r="A28" s="183" t="s">
        <v>32</v>
      </c>
      <c r="B28" s="184"/>
      <c r="C28" s="185"/>
      <c r="D28" s="82">
        <v>2</v>
      </c>
      <c r="E28" s="82">
        <v>2</v>
      </c>
      <c r="F28" s="82">
        <v>2</v>
      </c>
      <c r="G28" s="82">
        <v>2</v>
      </c>
      <c r="H28" s="82" t="s">
        <v>113</v>
      </c>
      <c r="I28" s="82" t="s">
        <v>113</v>
      </c>
      <c r="J28" s="82" t="s">
        <v>113</v>
      </c>
      <c r="K28" s="82" t="s">
        <v>113</v>
      </c>
      <c r="L28" s="82" t="s">
        <v>113</v>
      </c>
      <c r="M28" s="82">
        <v>2</v>
      </c>
      <c r="N28" s="82">
        <v>2</v>
      </c>
      <c r="O28" s="82">
        <v>2</v>
      </c>
      <c r="P28" s="82">
        <v>2</v>
      </c>
      <c r="Q28" s="82">
        <v>2</v>
      </c>
      <c r="R28" s="28">
        <v>2</v>
      </c>
      <c r="S28" s="28">
        <v>2</v>
      </c>
      <c r="T28" s="28" t="s">
        <v>114</v>
      </c>
      <c r="U28" s="28" t="s">
        <v>115</v>
      </c>
      <c r="V28" s="28" t="s">
        <v>115</v>
      </c>
      <c r="W28" s="28">
        <v>2</v>
      </c>
      <c r="X28" s="28">
        <v>2</v>
      </c>
      <c r="Y28" s="82">
        <v>3</v>
      </c>
      <c r="Z28" s="82">
        <v>3</v>
      </c>
      <c r="AA28" s="82">
        <v>3</v>
      </c>
      <c r="AB28" s="82" t="s">
        <v>119</v>
      </c>
      <c r="AC28" s="82">
        <v>3</v>
      </c>
      <c r="AD28" s="82" t="s">
        <v>123</v>
      </c>
      <c r="AE28" s="82" t="s">
        <v>123</v>
      </c>
      <c r="AF28" s="82" t="s">
        <v>123</v>
      </c>
      <c r="AG28" s="28" t="s">
        <v>123</v>
      </c>
      <c r="AH28" s="28" t="s">
        <v>123</v>
      </c>
      <c r="AI28" s="17">
        <f>IF(COUNTA(D28:AH28)&gt;0,(COUNTA(D28:AH28)-COUNTIF(D28:AH28,"NB")-COUNTIF(D28:AH28,"DN")-COUNTIF(D28:AH28,"An")-COUNTIF(D28:AH28,"NB^")-COUNTIF(D28:AH28,0))/COUNTA(D28:AH28),"")</f>
        <v>1</v>
      </c>
    </row>
    <row r="29" spans="1:35" ht="15.75" customHeight="1" x14ac:dyDescent="0.25">
      <c r="A29" s="171" t="s">
        <v>97</v>
      </c>
      <c r="B29" s="172"/>
      <c r="C29" s="173"/>
      <c r="D29" s="29">
        <v>0</v>
      </c>
      <c r="E29" s="83">
        <v>0</v>
      </c>
      <c r="F29" s="83">
        <v>0</v>
      </c>
      <c r="G29" s="83" t="s">
        <v>117</v>
      </c>
      <c r="H29" s="83">
        <v>0</v>
      </c>
      <c r="I29" s="83">
        <v>0</v>
      </c>
      <c r="J29" s="83">
        <v>0</v>
      </c>
      <c r="K29" s="83">
        <v>0</v>
      </c>
      <c r="L29" s="83">
        <v>0</v>
      </c>
      <c r="M29" s="83">
        <v>0</v>
      </c>
      <c r="N29" s="83">
        <v>0</v>
      </c>
      <c r="O29" s="83">
        <v>0</v>
      </c>
      <c r="P29" s="83">
        <v>0</v>
      </c>
      <c r="Q29" s="83">
        <v>0</v>
      </c>
      <c r="R29" s="83">
        <v>0</v>
      </c>
      <c r="S29" s="83">
        <v>0</v>
      </c>
      <c r="T29" s="83">
        <v>0</v>
      </c>
      <c r="U29" s="83">
        <v>0</v>
      </c>
      <c r="V29" s="83">
        <v>0</v>
      </c>
      <c r="W29" s="83">
        <v>0</v>
      </c>
      <c r="X29" s="83" t="s">
        <v>116</v>
      </c>
      <c r="Y29" s="83" t="s">
        <v>118</v>
      </c>
      <c r="Z29" s="83" t="s">
        <v>120</v>
      </c>
      <c r="AA29" s="83" t="s">
        <v>121</v>
      </c>
      <c r="AB29" s="83" t="s">
        <v>122</v>
      </c>
      <c r="AC29" s="83" t="s">
        <v>124</v>
      </c>
      <c r="AD29" s="83" t="s">
        <v>125</v>
      </c>
      <c r="AE29" s="83" t="s">
        <v>127</v>
      </c>
      <c r="AF29" s="83" t="s">
        <v>126</v>
      </c>
      <c r="AG29" s="29">
        <v>9.6999999999999993</v>
      </c>
      <c r="AH29" s="29">
        <v>0.8</v>
      </c>
      <c r="AI29" s="19">
        <f>IF(COUNTA(D29:AH29)&gt;0,(COUNTA(D29:AH29)-COUNTIF(D29:AH29,"NB")-COUNTIF(D29:AH29,"DN")-COUNTIF(D29:AH29,"An")-COUNTIF(D29:AH29,"NB^")-COUNTIF(D29:AH29,0))/COUNTA(D29:AH29),"")</f>
        <v>0.38709677419354838</v>
      </c>
    </row>
    <row r="30" spans="1:35" ht="15.75" customHeight="1" x14ac:dyDescent="0.25">
      <c r="A30" s="153" t="s">
        <v>33</v>
      </c>
      <c r="B30" s="154"/>
      <c r="C30" s="155"/>
      <c r="D30" s="84" t="s">
        <v>8</v>
      </c>
      <c r="E30" s="84" t="s">
        <v>8</v>
      </c>
      <c r="F30" s="84" t="s">
        <v>8</v>
      </c>
      <c r="G30" s="84" t="s">
        <v>8</v>
      </c>
      <c r="H30" s="84" t="s">
        <v>8</v>
      </c>
      <c r="I30" s="84" t="s">
        <v>8</v>
      </c>
      <c r="J30" s="84" t="s">
        <v>8</v>
      </c>
      <c r="K30" s="84" t="s">
        <v>9</v>
      </c>
      <c r="L30" s="84" t="s">
        <v>9</v>
      </c>
      <c r="M30" s="84" t="s">
        <v>9</v>
      </c>
      <c r="N30" s="84" t="s">
        <v>9</v>
      </c>
      <c r="O30" s="84" t="s">
        <v>8</v>
      </c>
      <c r="P30" s="84" t="s">
        <v>9</v>
      </c>
      <c r="Q30" s="84" t="s">
        <v>22</v>
      </c>
      <c r="R30" s="84" t="s">
        <v>9</v>
      </c>
      <c r="S30" s="84" t="s">
        <v>9</v>
      </c>
      <c r="T30" s="84" t="s">
        <v>9</v>
      </c>
      <c r="U30" s="84" t="s">
        <v>22</v>
      </c>
      <c r="V30" s="84" t="s">
        <v>22</v>
      </c>
      <c r="W30" s="84" t="s">
        <v>8</v>
      </c>
      <c r="X30" s="84" t="s">
        <v>9</v>
      </c>
      <c r="Y30" s="84" t="s">
        <v>8</v>
      </c>
      <c r="Z30" s="84" t="s">
        <v>8</v>
      </c>
      <c r="AA30" s="84" t="s">
        <v>8</v>
      </c>
      <c r="AB30" s="84" t="s">
        <v>8</v>
      </c>
      <c r="AC30" s="84" t="s">
        <v>8</v>
      </c>
      <c r="AD30" s="84" t="s">
        <v>8</v>
      </c>
      <c r="AE30" s="84" t="s">
        <v>8</v>
      </c>
      <c r="AF30" s="84" t="s">
        <v>8</v>
      </c>
      <c r="AG30" s="84" t="s">
        <v>8</v>
      </c>
      <c r="AH30" s="84" t="s">
        <v>8</v>
      </c>
      <c r="AI30" s="19">
        <f>IF(COUNTA(D30:AH30)&gt;0,(COUNTA(D30:AH30)-COUNTIF(D30:AH30,"NB")-COUNTIF(D30:AH30,"DN")-COUNTIF(D30:AH30,"An")-COUNTIF(D30:AH30,"NB^")-COUNTIF(D30:AH30,0))/COUNTA(D30:AH30),"")</f>
        <v>1</v>
      </c>
    </row>
    <row r="31" spans="1:35" ht="15.75" customHeight="1" x14ac:dyDescent="0.25">
      <c r="A31" s="156" t="s">
        <v>34</v>
      </c>
      <c r="B31" s="157"/>
      <c r="C31" s="158"/>
      <c r="D31" s="72" t="s">
        <v>8</v>
      </c>
      <c r="E31" s="72" t="s">
        <v>8</v>
      </c>
      <c r="F31" s="72" t="s">
        <v>8</v>
      </c>
      <c r="G31" s="72" t="s">
        <v>8</v>
      </c>
      <c r="H31" s="72" t="s">
        <v>8</v>
      </c>
      <c r="I31" s="72" t="s">
        <v>8</v>
      </c>
      <c r="J31" s="72" t="s">
        <v>8</v>
      </c>
      <c r="K31" s="72" t="s">
        <v>9</v>
      </c>
      <c r="L31" s="72" t="s">
        <v>9</v>
      </c>
      <c r="M31" s="72" t="s">
        <v>9</v>
      </c>
      <c r="N31" s="72" t="s">
        <v>9</v>
      </c>
      <c r="O31" s="72" t="s">
        <v>8</v>
      </c>
      <c r="P31" s="72" t="s">
        <v>9</v>
      </c>
      <c r="Q31" s="72" t="s">
        <v>9</v>
      </c>
      <c r="R31" s="72" t="s">
        <v>9</v>
      </c>
      <c r="S31" s="72" t="s">
        <v>9</v>
      </c>
      <c r="T31" s="72" t="s">
        <v>9</v>
      </c>
      <c r="U31" s="72" t="s">
        <v>22</v>
      </c>
      <c r="V31" s="72" t="s">
        <v>22</v>
      </c>
      <c r="W31" s="72" t="s">
        <v>8</v>
      </c>
      <c r="X31" s="72" t="s">
        <v>9</v>
      </c>
      <c r="Y31" s="72" t="s">
        <v>8</v>
      </c>
      <c r="Z31" s="72" t="s">
        <v>8</v>
      </c>
      <c r="AA31" s="72" t="s">
        <v>8</v>
      </c>
      <c r="AB31" s="72" t="s">
        <v>8</v>
      </c>
      <c r="AC31" s="72" t="s">
        <v>8</v>
      </c>
      <c r="AD31" s="72" t="s">
        <v>8</v>
      </c>
      <c r="AE31" s="72" t="s">
        <v>8</v>
      </c>
      <c r="AF31" s="72" t="s">
        <v>8</v>
      </c>
      <c r="AG31" s="72" t="s">
        <v>8</v>
      </c>
      <c r="AH31" s="72" t="s">
        <v>8</v>
      </c>
      <c r="AI31" s="13">
        <f>IF(COUNTA(D31:AH31)&gt;0,(COUNTA(D31:AH31)-COUNTIF(D31:AH31,"NB")-COUNTIF(D31:AH31,"DN")-COUNTIF(D31:AH31,"An")-COUNTIF(D31:AH31,"NB^")-COUNTIF(D31:AH31,0))/COUNTA(D31:AH31),"")</f>
        <v>1</v>
      </c>
    </row>
    <row r="32" spans="1:35" ht="15.75" customHeight="1" x14ac:dyDescent="0.25">
      <c r="A32" s="159" t="s">
        <v>35</v>
      </c>
      <c r="B32" s="160"/>
      <c r="C32" s="161"/>
      <c r="D32" s="85" t="s">
        <v>8</v>
      </c>
      <c r="E32" s="85" t="s">
        <v>8</v>
      </c>
      <c r="F32" s="85" t="s">
        <v>8</v>
      </c>
      <c r="G32" s="85" t="s">
        <v>8</v>
      </c>
      <c r="H32" s="85" t="s">
        <v>8</v>
      </c>
      <c r="I32" s="85" t="s">
        <v>8</v>
      </c>
      <c r="J32" s="85" t="s">
        <v>8</v>
      </c>
      <c r="K32" s="85" t="s">
        <v>9</v>
      </c>
      <c r="L32" s="85" t="s">
        <v>9</v>
      </c>
      <c r="M32" s="85" t="s">
        <v>9</v>
      </c>
      <c r="N32" s="85" t="s">
        <v>9</v>
      </c>
      <c r="O32" s="85" t="s">
        <v>9</v>
      </c>
      <c r="P32" s="85" t="s">
        <v>9</v>
      </c>
      <c r="Q32" s="85" t="s">
        <v>9</v>
      </c>
      <c r="R32" s="85" t="s">
        <v>9</v>
      </c>
      <c r="S32" s="85" t="s">
        <v>9</v>
      </c>
      <c r="T32" s="85" t="s">
        <v>9</v>
      </c>
      <c r="U32" s="85" t="s">
        <v>22</v>
      </c>
      <c r="V32" s="85" t="s">
        <v>22</v>
      </c>
      <c r="W32" s="85" t="s">
        <v>8</v>
      </c>
      <c r="X32" s="85" t="s">
        <v>9</v>
      </c>
      <c r="Y32" s="85" t="s">
        <v>8</v>
      </c>
      <c r="Z32" s="85" t="s">
        <v>8</v>
      </c>
      <c r="AA32" s="85" t="s">
        <v>8</v>
      </c>
      <c r="AB32" s="85" t="s">
        <v>8</v>
      </c>
      <c r="AC32" s="85" t="s">
        <v>8</v>
      </c>
      <c r="AD32" s="85" t="s">
        <v>8</v>
      </c>
      <c r="AE32" s="85" t="s">
        <v>8</v>
      </c>
      <c r="AF32" s="85" t="s">
        <v>8</v>
      </c>
      <c r="AG32" s="85" t="s">
        <v>8</v>
      </c>
      <c r="AH32" s="85" t="s">
        <v>8</v>
      </c>
      <c r="AI32" s="17">
        <f t="shared" si="0"/>
        <v>1</v>
      </c>
    </row>
    <row r="33" spans="1:44" ht="15.75" customHeight="1" x14ac:dyDescent="0.25">
      <c r="A33" s="162" t="s">
        <v>36</v>
      </c>
      <c r="B33" s="163"/>
      <c r="C33" s="164"/>
      <c r="D33" s="81" t="s">
        <v>11</v>
      </c>
      <c r="E33" s="81" t="s">
        <v>11</v>
      </c>
      <c r="F33" s="81" t="s">
        <v>11</v>
      </c>
      <c r="G33" s="81" t="s">
        <v>11</v>
      </c>
      <c r="H33" s="81" t="s">
        <v>11</v>
      </c>
      <c r="I33" s="81" t="s">
        <v>11</v>
      </c>
      <c r="J33" s="81" t="s">
        <v>11</v>
      </c>
      <c r="K33" s="81" t="s">
        <v>11</v>
      </c>
      <c r="L33" s="81" t="s">
        <v>11</v>
      </c>
      <c r="M33" s="81" t="s">
        <v>11</v>
      </c>
      <c r="N33" s="81" t="s">
        <v>11</v>
      </c>
      <c r="O33" s="81" t="s">
        <v>11</v>
      </c>
      <c r="P33" s="81" t="s">
        <v>11</v>
      </c>
      <c r="Q33" s="81" t="s">
        <v>22</v>
      </c>
      <c r="R33" s="81" t="s">
        <v>11</v>
      </c>
      <c r="S33" s="81" t="s">
        <v>11</v>
      </c>
      <c r="T33" s="81" t="s">
        <v>11</v>
      </c>
      <c r="U33" s="81" t="s">
        <v>22</v>
      </c>
      <c r="V33" s="81" t="s">
        <v>22</v>
      </c>
      <c r="W33" s="25" t="s">
        <v>11</v>
      </c>
      <c r="X33" s="25" t="s">
        <v>11</v>
      </c>
      <c r="Y33" s="81" t="s">
        <v>11</v>
      </c>
      <c r="Z33" s="81" t="s">
        <v>11</v>
      </c>
      <c r="AA33" s="81" t="s">
        <v>11</v>
      </c>
      <c r="AB33" s="81" t="s">
        <v>11</v>
      </c>
      <c r="AC33" s="81" t="s">
        <v>11</v>
      </c>
      <c r="AD33" s="81" t="s">
        <v>11</v>
      </c>
      <c r="AE33" s="81" t="s">
        <v>11</v>
      </c>
      <c r="AF33" s="81" t="s">
        <v>11</v>
      </c>
      <c r="AG33" s="81" t="s">
        <v>11</v>
      </c>
      <c r="AH33" s="81" t="s">
        <v>11</v>
      </c>
      <c r="AI33" s="19">
        <f t="shared" si="0"/>
        <v>1</v>
      </c>
    </row>
    <row r="34" spans="1:44" ht="15.75" customHeight="1" x14ac:dyDescent="0.25">
      <c r="A34" s="162" t="s">
        <v>95</v>
      </c>
      <c r="B34" s="163"/>
      <c r="C34" s="164"/>
      <c r="D34" s="25" t="s">
        <v>11</v>
      </c>
      <c r="E34" s="81" t="s">
        <v>11</v>
      </c>
      <c r="F34" s="81" t="s">
        <v>11</v>
      </c>
      <c r="G34" s="81" t="s">
        <v>11</v>
      </c>
      <c r="H34" s="81" t="s">
        <v>11</v>
      </c>
      <c r="I34" s="81" t="s">
        <v>11</v>
      </c>
      <c r="J34" s="81" t="s">
        <v>11</v>
      </c>
      <c r="K34" s="81" t="s">
        <v>11</v>
      </c>
      <c r="L34" s="81" t="s">
        <v>11</v>
      </c>
      <c r="M34" s="81" t="s">
        <v>11</v>
      </c>
      <c r="N34" s="81" t="s">
        <v>11</v>
      </c>
      <c r="O34" s="81" t="s">
        <v>11</v>
      </c>
      <c r="P34" s="81" t="s">
        <v>11</v>
      </c>
      <c r="Q34" s="81" t="s">
        <v>22</v>
      </c>
      <c r="R34" s="81" t="s">
        <v>22</v>
      </c>
      <c r="S34" s="81" t="s">
        <v>11</v>
      </c>
      <c r="T34" s="81" t="s">
        <v>11</v>
      </c>
      <c r="U34" s="81" t="s">
        <v>22</v>
      </c>
      <c r="V34" s="81" t="s">
        <v>22</v>
      </c>
      <c r="W34" s="24" t="s">
        <v>11</v>
      </c>
      <c r="X34" s="24" t="s">
        <v>11</v>
      </c>
      <c r="Y34" s="81" t="s">
        <v>11</v>
      </c>
      <c r="Z34" s="81" t="s">
        <v>11</v>
      </c>
      <c r="AA34" s="81" t="s">
        <v>11</v>
      </c>
      <c r="AB34" s="81" t="s">
        <v>11</v>
      </c>
      <c r="AC34" s="81" t="s">
        <v>11</v>
      </c>
      <c r="AD34" s="81" t="s">
        <v>11</v>
      </c>
      <c r="AE34" s="81" t="s">
        <v>11</v>
      </c>
      <c r="AF34" s="81" t="s">
        <v>11</v>
      </c>
      <c r="AG34" s="81" t="s">
        <v>11</v>
      </c>
      <c r="AH34" s="81" t="s">
        <v>11</v>
      </c>
      <c r="AI34" s="19">
        <f t="shared" si="0"/>
        <v>1</v>
      </c>
    </row>
    <row r="35" spans="1:44" ht="15.75" customHeight="1" thickBot="1" x14ac:dyDescent="0.3">
      <c r="A35" s="165" t="s">
        <v>96</v>
      </c>
      <c r="B35" s="166"/>
      <c r="C35" s="167"/>
      <c r="D35" s="97" t="s">
        <v>11</v>
      </c>
      <c r="E35" s="95" t="s">
        <v>11</v>
      </c>
      <c r="F35" s="95" t="s">
        <v>11</v>
      </c>
      <c r="G35" s="95" t="s">
        <v>11</v>
      </c>
      <c r="H35" s="95" t="s">
        <v>11</v>
      </c>
      <c r="I35" s="95" t="s">
        <v>11</v>
      </c>
      <c r="J35" s="95" t="s">
        <v>11</v>
      </c>
      <c r="K35" s="95" t="s">
        <v>11</v>
      </c>
      <c r="L35" s="95" t="s">
        <v>11</v>
      </c>
      <c r="M35" s="95" t="s">
        <v>11</v>
      </c>
      <c r="N35" s="95" t="s">
        <v>11</v>
      </c>
      <c r="O35" s="95" t="s">
        <v>11</v>
      </c>
      <c r="P35" s="95" t="s">
        <v>11</v>
      </c>
      <c r="Q35" s="95" t="s">
        <v>22</v>
      </c>
      <c r="R35" s="95" t="s">
        <v>22</v>
      </c>
      <c r="S35" s="95" t="s">
        <v>11</v>
      </c>
      <c r="T35" s="95" t="s">
        <v>11</v>
      </c>
      <c r="U35" s="95" t="s">
        <v>22</v>
      </c>
      <c r="V35" s="95" t="s">
        <v>22</v>
      </c>
      <c r="W35" s="96" t="s">
        <v>11</v>
      </c>
      <c r="X35" s="96" t="s">
        <v>11</v>
      </c>
      <c r="Y35" s="95" t="s">
        <v>11</v>
      </c>
      <c r="Z35" s="95" t="s">
        <v>11</v>
      </c>
      <c r="AA35" s="95" t="s">
        <v>11</v>
      </c>
      <c r="AB35" s="95" t="s">
        <v>11</v>
      </c>
      <c r="AC35" s="95" t="s">
        <v>11</v>
      </c>
      <c r="AD35" s="95" t="s">
        <v>11</v>
      </c>
      <c r="AE35" s="95" t="s">
        <v>11</v>
      </c>
      <c r="AF35" s="95" t="s">
        <v>11</v>
      </c>
      <c r="AG35" s="95" t="s">
        <v>11</v>
      </c>
      <c r="AH35" s="95" t="s">
        <v>11</v>
      </c>
      <c r="AI35" s="98">
        <f t="shared" si="0"/>
        <v>1</v>
      </c>
    </row>
    <row r="36" spans="1:44" s="32" customFormat="1" ht="15.75" customHeight="1" x14ac:dyDescent="0.25">
      <c r="A36" s="150" t="s">
        <v>37</v>
      </c>
      <c r="B36" s="151"/>
      <c r="C36" s="152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7"/>
      <c r="S36" s="76"/>
      <c r="T36" s="76"/>
      <c r="U36" s="76"/>
      <c r="V36" s="76"/>
      <c r="W36" s="76"/>
      <c r="X36" s="76"/>
      <c r="Y36" s="76"/>
      <c r="Z36" s="31"/>
      <c r="AA36" s="93"/>
      <c r="AB36" s="76"/>
      <c r="AC36" s="76"/>
      <c r="AD36" s="76"/>
      <c r="AE36" s="76"/>
      <c r="AF36" s="76"/>
      <c r="AG36" s="76"/>
      <c r="AH36" s="78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68" t="s">
        <v>38</v>
      </c>
      <c r="B37" s="169"/>
      <c r="C37" s="170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87"/>
      <c r="W37" s="87"/>
      <c r="X37" s="87"/>
      <c r="Y37" s="87"/>
      <c r="Z37" s="87"/>
      <c r="AA37" s="94"/>
      <c r="AB37" s="87"/>
      <c r="AC37" s="87"/>
      <c r="AD37" s="87"/>
      <c r="AE37" s="87"/>
      <c r="AF37" s="87"/>
      <c r="AG37" s="87"/>
      <c r="AH37" s="89"/>
      <c r="AI37" s="35"/>
    </row>
    <row r="38" spans="1:44" ht="15.75" hidden="1" customHeight="1" x14ac:dyDescent="0.25">
      <c r="A38" s="32"/>
      <c r="B38" s="36"/>
      <c r="C38" s="36"/>
      <c r="D38" s="37"/>
      <c r="E38" s="37"/>
      <c r="F38" s="37"/>
      <c r="G38" s="37"/>
      <c r="H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 t="str">
        <f>IF(AND(AD5&gt;0,COUNTA(AD6:AD37)&gt;0,COUNTA(AD6:AD37)-COUNTIF(AD6:AD37,"NB")-COUNTIF(AD30:AD31, "0")=COUNTA(AD6:AD37)),"AB","")</f>
        <v>AB</v>
      </c>
      <c r="AE38" s="37" t="str">
        <f>IF(AND(AE5&gt;0,COUNTA(AE6:AE37)&gt;0,COUNTA(AE6:AE37)-COUNTIF(AE6:AE37,"NB")-COUNTIF(AE30:AE31, "0")=COUNTA(AE6:AE37)),"AB","")</f>
        <v>AB</v>
      </c>
      <c r="AF38" s="37" t="str">
        <f>IF(AND(AF5&gt;0,COUNTA(AF6:AF37)&gt;0,COUNTA(AF6:AF37)-COUNTIF(AF6:AF37,"NB")-COUNTIF(AF30:AF31, "0")=COUNTA(AF6:AF37)),"AB","")</f>
        <v>AB</v>
      </c>
      <c r="AG38" s="37" t="str">
        <f>IF(AND(AG5&gt;0,COUNTA(AG6:AG37)&gt;0,COUNTA(AG6:AG37)-COUNTIF(AG6:AG37,"NB")-COUNTIF(AG30:AG31, "0")=COUNTA(AG6:AG37)),"AB","")</f>
        <v>AB</v>
      </c>
      <c r="AH38" s="37" t="str">
        <f>IF(AND(AH5&gt;0,COUNTA(AH6:AH37)&gt;0,COUNTA(AH6:AH37)-COUNTIF(AH6:AH37,"NB")-COUNTIF(AH30:AH31, "0")=COUNTA(AH6:AH37)),"AB","")</f>
        <v>AB</v>
      </c>
      <c r="AI38" s="35"/>
    </row>
    <row r="39" spans="1:44" ht="15.75" hidden="1" customHeight="1" thickBot="1" x14ac:dyDescent="0.3"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 t="str">
        <f>IF(AND(AD5:AD5&gt;0,COUNTA(AD6:AD35),COUNTIF(AD6:AD35,"NB")+COUNTIF(AD6:AD35,0)=COUNTA(AD6:AD35)),"ANB","")</f>
        <v/>
      </c>
      <c r="AE39" s="38" t="str">
        <f>IF(AND(AE5:AE5&gt;0,COUNTA(AE6:AE35),COUNTIF(AE6:AE35,"NB")+COUNTIF(AE6:AE35,0)=COUNTA(AE6:AE35)),"ANB","")</f>
        <v/>
      </c>
      <c r="AF39" s="38" t="str">
        <f>IF(AND(AF5:AF5&gt;0,COUNTA(AF6:AF35),COUNTIF(AF6:AF35,"NB")+COUNTIF(AF6:AF35,0)=COUNTA(AF6:AF35)),"ANB","")</f>
        <v/>
      </c>
      <c r="AG39" s="38" t="str">
        <f>IF(AND(AG5:AG5&gt;0,COUNTA(AG6:AG35),COUNTIF(AG6:AG35,"NB")+COUNTIF(AG6:AG35,0)=COUNTA(AG6:AG35)),"ANB","")</f>
        <v/>
      </c>
      <c r="AH39" s="38" t="str">
        <f>IF(AND(AH5:AH5&gt;0,COUNTA(AH6:AH35),COUNTIF(AH6:AH35,"NB")+COUNTIF(AH6:AH35,0)=COUNTA(AH6:AH35)),"ANB","")</f>
        <v/>
      </c>
    </row>
    <row r="40" spans="1:44" ht="15.75" customHeight="1" thickBot="1" x14ac:dyDescent="0.3">
      <c r="D40" s="39"/>
      <c r="F40" s="104"/>
      <c r="I40" s="104"/>
    </row>
    <row r="41" spans="1:44" ht="15.75" customHeight="1" thickBot="1" x14ac:dyDescent="0.3">
      <c r="A41" s="147" t="s">
        <v>39</v>
      </c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9"/>
    </row>
    <row r="42" spans="1:44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  <c r="AH49" s="59"/>
    </row>
    <row r="50" spans="1:35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COUNTA(D5:AH5)</f>
        <v>31</v>
      </c>
      <c r="AH50" s="59"/>
      <c r="AI50"/>
    </row>
    <row r="51" spans="1:35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COUNTIF(D38:AH38,"AB")</f>
        <v>5</v>
      </c>
      <c r="AH51" s="59"/>
      <c r="AI51"/>
    </row>
    <row r="52" spans="1:35" ht="15.75" customHeight="1" x14ac:dyDescent="0.25">
      <c r="A52" s="54" t="s">
        <v>98</v>
      </c>
      <c r="B52" t="s">
        <v>99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26</v>
      </c>
      <c r="AH52" s="59"/>
      <c r="AI52"/>
    </row>
    <row r="53" spans="1:35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41:AH41"/>
    <mergeCell ref="A36:C36"/>
    <mergeCell ref="A30:C30"/>
    <mergeCell ref="A31:C31"/>
    <mergeCell ref="A32:C32"/>
    <mergeCell ref="A33:C33"/>
    <mergeCell ref="A34:C34"/>
    <mergeCell ref="A35:C35"/>
    <mergeCell ref="A37:C37"/>
  </mergeCells>
  <conditionalFormatting sqref="E22:G24 D23:D24 M22:O22 E28:H35 E27:G27 O23:O24">
    <cfRule type="cellIs" dxfId="2252" priority="433" stopIfTrue="1" operator="equal">
      <formula>"M"</formula>
    </cfRule>
    <cfRule type="cellIs" dxfId="2251" priority="434" stopIfTrue="1" operator="equal">
      <formula>"NB"</formula>
    </cfRule>
    <cfRule type="cellIs" dxfId="2250" priority="435" stopIfTrue="1" operator="equal">
      <formula>"B"</formula>
    </cfRule>
  </conditionalFormatting>
  <conditionalFormatting sqref="E28:H29">
    <cfRule type="cellIs" dxfId="2249" priority="432" operator="equal">
      <formula>0</formula>
    </cfRule>
  </conditionalFormatting>
  <conditionalFormatting sqref="N28:O29">
    <cfRule type="cellIs" dxfId="2248" priority="425" stopIfTrue="1" operator="equal">
      <formula>"M"</formula>
    </cfRule>
    <cfRule type="cellIs" dxfId="2247" priority="426" stopIfTrue="1" operator="equal">
      <formula>"NB"</formula>
    </cfRule>
    <cfRule type="cellIs" dxfId="2246" priority="427" stopIfTrue="1" operator="equal">
      <formula>"B"</formula>
    </cfRule>
  </conditionalFormatting>
  <conditionalFormatting sqref="N28:O29">
    <cfRule type="cellIs" dxfId="2245" priority="424" operator="equal">
      <formula>0</formula>
    </cfRule>
  </conditionalFormatting>
  <conditionalFormatting sqref="D22 D25:G26">
    <cfRule type="cellIs" dxfId="2244" priority="387" stopIfTrue="1" operator="equal">
      <formula>"B"</formula>
    </cfRule>
    <cfRule type="cellIs" dxfId="2243" priority="388" stopIfTrue="1" operator="equal">
      <formula>"M"</formula>
    </cfRule>
    <cfRule type="cellIs" dxfId="2242" priority="389" stopIfTrue="1" operator="between">
      <formula>"NB"</formula>
      <formula>"NB^"</formula>
    </cfRule>
  </conditionalFormatting>
  <conditionalFormatting sqref="D34">
    <cfRule type="cellIs" dxfId="2241" priority="384" stopIfTrue="1" operator="equal">
      <formula>"B"</formula>
    </cfRule>
    <cfRule type="cellIs" dxfId="2240" priority="385" stopIfTrue="1" operator="equal">
      <formula>"M"</formula>
    </cfRule>
    <cfRule type="cellIs" dxfId="2239" priority="386" stopIfTrue="1" operator="between">
      <formula>"NB"</formula>
      <formula>"NB^"</formula>
    </cfRule>
  </conditionalFormatting>
  <conditionalFormatting sqref="D35">
    <cfRule type="cellIs" dxfId="2238" priority="381" stopIfTrue="1" operator="equal">
      <formula>"B"</formula>
    </cfRule>
    <cfRule type="cellIs" dxfId="2237" priority="382" stopIfTrue="1" operator="equal">
      <formula>"M"</formula>
    </cfRule>
    <cfRule type="cellIs" dxfId="2236" priority="383" stopIfTrue="1" operator="between">
      <formula>"NB"</formula>
      <formula>"NB^"</formula>
    </cfRule>
  </conditionalFormatting>
  <conditionalFormatting sqref="D8:E8">
    <cfRule type="cellIs" dxfId="2235" priority="378" stopIfTrue="1" operator="equal">
      <formula>"B"</formula>
    </cfRule>
    <cfRule type="cellIs" dxfId="2234" priority="379" stopIfTrue="1" operator="equal">
      <formula>"M"</formula>
    </cfRule>
    <cfRule type="cellIs" dxfId="2233" priority="380" stopIfTrue="1" operator="between">
      <formula>"NB"</formula>
      <formula>"NB^"</formula>
    </cfRule>
  </conditionalFormatting>
  <conditionalFormatting sqref="D30:D33 D9:E14">
    <cfRule type="cellIs" dxfId="2232" priority="400" stopIfTrue="1" operator="equal">
      <formula>"B"</formula>
    </cfRule>
    <cfRule type="cellIs" dxfId="2231" priority="401" stopIfTrue="1" operator="equal">
      <formula>"M"</formula>
    </cfRule>
    <cfRule type="cellIs" dxfId="2230" priority="402" stopIfTrue="1" operator="between">
      <formula>"NB"</formula>
      <formula>"NB^"</formula>
    </cfRule>
  </conditionalFormatting>
  <conditionalFormatting sqref="D28">
    <cfRule type="cellIs" dxfId="2229" priority="403" stopIfTrue="1" operator="equal">
      <formula>0</formula>
    </cfRule>
  </conditionalFormatting>
  <conditionalFormatting sqref="D29">
    <cfRule type="cellIs" dxfId="2228" priority="399" stopIfTrue="1" operator="equal">
      <formula>0</formula>
    </cfRule>
  </conditionalFormatting>
  <conditionalFormatting sqref="D15:E17">
    <cfRule type="cellIs" dxfId="2227" priority="396" stopIfTrue="1" operator="equal">
      <formula>"B"</formula>
    </cfRule>
    <cfRule type="cellIs" dxfId="2226" priority="397" stopIfTrue="1" operator="equal">
      <formula>"M"</formula>
    </cfRule>
    <cfRule type="cellIs" dxfId="2225" priority="398" stopIfTrue="1" operator="between">
      <formula>"NB"</formula>
      <formula>"NB^"</formula>
    </cfRule>
  </conditionalFormatting>
  <conditionalFormatting sqref="D27 D18:E21">
    <cfRule type="cellIs" dxfId="2224" priority="393" stopIfTrue="1" operator="equal">
      <formula>"B"</formula>
    </cfRule>
    <cfRule type="cellIs" dxfId="2223" priority="394" stopIfTrue="1" operator="equal">
      <formula>"M"</formula>
    </cfRule>
    <cfRule type="cellIs" dxfId="2222" priority="395" stopIfTrue="1" operator="between">
      <formula>"NB"</formula>
      <formula>"NB^"</formula>
    </cfRule>
  </conditionalFormatting>
  <conditionalFormatting sqref="D6:E7">
    <cfRule type="cellIs" dxfId="2221" priority="390" stopIfTrue="1" operator="equal">
      <formula>"B"</formula>
    </cfRule>
    <cfRule type="cellIs" dxfId="2220" priority="391" stopIfTrue="1" operator="equal">
      <formula>"M"</formula>
    </cfRule>
    <cfRule type="cellIs" dxfId="2219" priority="392" stopIfTrue="1" operator="between">
      <formula>"NB"</formula>
      <formula>"NB^"</formula>
    </cfRule>
  </conditionalFormatting>
  <conditionalFormatting sqref="O25:O26">
    <cfRule type="cellIs" dxfId="2218" priority="355" stopIfTrue="1" operator="equal">
      <formula>"M"</formula>
    </cfRule>
    <cfRule type="cellIs" dxfId="2217" priority="356" stopIfTrue="1" operator="equal">
      <formula>"NB"</formula>
    </cfRule>
    <cfRule type="cellIs" dxfId="2216" priority="357" stopIfTrue="1" operator="equal">
      <formula>"B"</formula>
    </cfRule>
  </conditionalFormatting>
  <conditionalFormatting sqref="N18:O21 N6:O8 N27:O27 N30:O35">
    <cfRule type="cellIs" dxfId="2215" priority="352" stopIfTrue="1" operator="equal">
      <formula>"M"</formula>
    </cfRule>
    <cfRule type="cellIs" dxfId="2214" priority="353" stopIfTrue="1" operator="equal">
      <formula>"NB"</formula>
    </cfRule>
    <cfRule type="cellIs" dxfId="2213" priority="354" stopIfTrue="1" operator="equal">
      <formula>"B"</formula>
    </cfRule>
  </conditionalFormatting>
  <conditionalFormatting sqref="N15:O17">
    <cfRule type="cellIs" priority="347" stopIfTrue="1" operator="equal">
      <formula>"B"</formula>
    </cfRule>
    <cfRule type="cellIs" dxfId="2212" priority="348" stopIfTrue="1" operator="equal">
      <formula>"M"</formula>
    </cfRule>
    <cfRule type="cellIs" dxfId="2211" priority="349" stopIfTrue="1" operator="equal">
      <formula>"NB"</formula>
    </cfRule>
    <cfRule type="cellIs" dxfId="2210" priority="350" stopIfTrue="1" operator="equal">
      <formula>0</formula>
    </cfRule>
  </conditionalFormatting>
  <conditionalFormatting sqref="M9:O14">
    <cfRule type="cellIs" dxfId="2209" priority="344" stopIfTrue="1" operator="equal">
      <formula>"B"</formula>
    </cfRule>
    <cfRule type="cellIs" dxfId="2208" priority="345" stopIfTrue="1" operator="equal">
      <formula>"M"</formula>
    </cfRule>
    <cfRule type="cellIs" dxfId="2207" priority="346" stopIfTrue="1" operator="between">
      <formula>"NB"</formula>
      <formula>"NB^"</formula>
    </cfRule>
  </conditionalFormatting>
  <conditionalFormatting sqref="R23:S24">
    <cfRule type="cellIs" dxfId="2206" priority="324" stopIfTrue="1" operator="equal">
      <formula>"M"</formula>
    </cfRule>
    <cfRule type="cellIs" dxfId="2205" priority="325" stopIfTrue="1" operator="equal">
      <formula>"NB"</formula>
    </cfRule>
    <cfRule type="cellIs" dxfId="2204" priority="326" stopIfTrue="1" operator="equal">
      <formula>"B"</formula>
    </cfRule>
  </conditionalFormatting>
  <conditionalFormatting sqref="R6:S8 R18:S22 R27:S35">
    <cfRule type="cellIs" dxfId="2203" priority="321" stopIfTrue="1" operator="equal">
      <formula>"M"</formula>
    </cfRule>
    <cfRule type="cellIs" dxfId="2202" priority="322" stopIfTrue="1" operator="equal">
      <formula>"NB"</formula>
    </cfRule>
    <cfRule type="cellIs" dxfId="2201" priority="323" stopIfTrue="1" operator="equal">
      <formula>"B"</formula>
    </cfRule>
  </conditionalFormatting>
  <conditionalFormatting sqref="R28:S29">
    <cfRule type="cellIs" dxfId="2200" priority="320" operator="equal">
      <formula>0</formula>
    </cfRule>
  </conditionalFormatting>
  <conditionalFormatting sqref="R25:S26">
    <cfRule type="cellIs" dxfId="2199" priority="313" stopIfTrue="1" operator="equal">
      <formula>"M"</formula>
    </cfRule>
    <cfRule type="cellIs" dxfId="2198" priority="314" stopIfTrue="1" operator="equal">
      <formula>"NB"</formula>
    </cfRule>
    <cfRule type="cellIs" dxfId="2197" priority="315" stopIfTrue="1" operator="equal">
      <formula>"B"</formula>
    </cfRule>
  </conditionalFormatting>
  <conditionalFormatting sqref="R9:S14">
    <cfRule type="cellIs" dxfId="2196" priority="310" stopIfTrue="1" operator="equal">
      <formula>"B"</formula>
    </cfRule>
    <cfRule type="cellIs" dxfId="2195" priority="311" stopIfTrue="1" operator="equal">
      <formula>"M"</formula>
    </cfRule>
    <cfRule type="cellIs" dxfId="2194" priority="312" stopIfTrue="1" operator="between">
      <formula>"NB"</formula>
      <formula>"NB^"</formula>
    </cfRule>
  </conditionalFormatting>
  <conditionalFormatting sqref="T23:U24">
    <cfRule type="cellIs" dxfId="2193" priority="307" stopIfTrue="1" operator="equal">
      <formula>"M"</formula>
    </cfRule>
    <cfRule type="cellIs" dxfId="2192" priority="308" stopIfTrue="1" operator="equal">
      <formula>"NB"</formula>
    </cfRule>
    <cfRule type="cellIs" dxfId="2191" priority="309" stopIfTrue="1" operator="equal">
      <formula>"B"</formula>
    </cfRule>
  </conditionalFormatting>
  <conditionalFormatting sqref="U6:U8 T18:U22 T27:U35 V29">
    <cfRule type="cellIs" dxfId="2190" priority="304" stopIfTrue="1" operator="equal">
      <formula>"M"</formula>
    </cfRule>
    <cfRule type="cellIs" dxfId="2189" priority="305" stopIfTrue="1" operator="equal">
      <formula>"NB"</formula>
    </cfRule>
    <cfRule type="cellIs" dxfId="2188" priority="306" stopIfTrue="1" operator="equal">
      <formula>"B"</formula>
    </cfRule>
  </conditionalFormatting>
  <conditionalFormatting sqref="T28:U29 V29">
    <cfRule type="cellIs" dxfId="2187" priority="303" operator="equal">
      <formula>0</formula>
    </cfRule>
  </conditionalFormatting>
  <conditionalFormatting sqref="T25:U26">
    <cfRule type="cellIs" dxfId="2186" priority="296" stopIfTrue="1" operator="equal">
      <formula>"M"</formula>
    </cfRule>
    <cfRule type="cellIs" dxfId="2185" priority="297" stopIfTrue="1" operator="equal">
      <formula>"NB"</formula>
    </cfRule>
    <cfRule type="cellIs" dxfId="2184" priority="298" stopIfTrue="1" operator="equal">
      <formula>"B"</formula>
    </cfRule>
  </conditionalFormatting>
  <conditionalFormatting sqref="U9:U14 W9:X14">
    <cfRule type="cellIs" dxfId="2183" priority="293" stopIfTrue="1" operator="equal">
      <formula>"B"</formula>
    </cfRule>
    <cfRule type="cellIs" dxfId="2182" priority="294" stopIfTrue="1" operator="equal">
      <formula>"M"</formula>
    </cfRule>
    <cfRule type="cellIs" dxfId="2181" priority="295" stopIfTrue="1" operator="between">
      <formula>"NB"</formula>
      <formula>"NB^"</formula>
    </cfRule>
  </conditionalFormatting>
  <conditionalFormatting sqref="W18:X21 W28:X35">
    <cfRule type="cellIs" dxfId="2180" priority="290" stopIfTrue="1" operator="equal">
      <formula>"M"</formula>
    </cfRule>
    <cfRule type="cellIs" dxfId="2179" priority="291" stopIfTrue="1" operator="equal">
      <formula>"NB"</formula>
    </cfRule>
    <cfRule type="cellIs" dxfId="2178" priority="292" stopIfTrue="1" operator="equal">
      <formula>"B"</formula>
    </cfRule>
  </conditionalFormatting>
  <conditionalFormatting sqref="W28:X29">
    <cfRule type="cellIs" dxfId="2177" priority="289" operator="equal">
      <formula>0</formula>
    </cfRule>
  </conditionalFormatting>
  <conditionalFormatting sqref="W6:X8 W27:X27">
    <cfRule type="cellIs" dxfId="2176" priority="286" stopIfTrue="1" operator="equal">
      <formula>"M"</formula>
    </cfRule>
    <cfRule type="cellIs" dxfId="2175" priority="287" stopIfTrue="1" operator="equal">
      <formula>"NB"</formula>
    </cfRule>
    <cfRule type="cellIs" dxfId="2174" priority="288" stopIfTrue="1" operator="equal">
      <formula>"B"</formula>
    </cfRule>
  </conditionalFormatting>
  <conditionalFormatting sqref="W23:X24">
    <cfRule type="cellIs" dxfId="2173" priority="279" stopIfTrue="1" operator="equal">
      <formula>"M"</formula>
    </cfRule>
    <cfRule type="cellIs" dxfId="2172" priority="280" stopIfTrue="1" operator="equal">
      <formula>"NB"</formula>
    </cfRule>
    <cfRule type="cellIs" dxfId="2171" priority="281" stopIfTrue="1" operator="equal">
      <formula>"B"</formula>
    </cfRule>
  </conditionalFormatting>
  <conditionalFormatting sqref="W22:X22">
    <cfRule type="cellIs" dxfId="2170" priority="276" stopIfTrue="1" operator="equal">
      <formula>"M"</formula>
    </cfRule>
    <cfRule type="cellIs" dxfId="2169" priority="277" stopIfTrue="1" operator="equal">
      <formula>"NB"</formula>
    </cfRule>
    <cfRule type="cellIs" dxfId="2168" priority="278" stopIfTrue="1" operator="equal">
      <formula>"B"</formula>
    </cfRule>
  </conditionalFormatting>
  <conditionalFormatting sqref="W25:X26">
    <cfRule type="cellIs" dxfId="2167" priority="273" stopIfTrue="1" operator="equal">
      <formula>"M"</formula>
    </cfRule>
    <cfRule type="cellIs" dxfId="2166" priority="274" stopIfTrue="1" operator="equal">
      <formula>"NB"</formula>
    </cfRule>
    <cfRule type="cellIs" dxfId="2165" priority="275" stopIfTrue="1" operator="equal">
      <formula>"B"</formula>
    </cfRule>
  </conditionalFormatting>
  <conditionalFormatting sqref="AG28:AH29 AG22:AG27">
    <cfRule type="cellIs" dxfId="2164" priority="204" stopIfTrue="1" operator="equal">
      <formula>"M"</formula>
    </cfRule>
    <cfRule type="cellIs" dxfId="2163" priority="205" stopIfTrue="1" operator="equal">
      <formula>"NB"</formula>
    </cfRule>
    <cfRule type="cellIs" dxfId="2162" priority="206" stopIfTrue="1" operator="equal">
      <formula>"B"</formula>
    </cfRule>
  </conditionalFormatting>
  <conditionalFormatting sqref="AG28:AH29">
    <cfRule type="cellIs" dxfId="2161" priority="203" operator="equal">
      <formula>0</formula>
    </cfRule>
  </conditionalFormatting>
  <conditionalFormatting sqref="AG6:AG8 AG18:AG21 AG30:AH35">
    <cfRule type="cellIs" dxfId="2160" priority="200" stopIfTrue="1" operator="equal">
      <formula>"M"</formula>
    </cfRule>
    <cfRule type="cellIs" dxfId="2159" priority="201" stopIfTrue="1" operator="equal">
      <formula>"NB"</formula>
    </cfRule>
    <cfRule type="cellIs" dxfId="2158" priority="202" stopIfTrue="1" operator="equal">
      <formula>"B"</formula>
    </cfRule>
  </conditionalFormatting>
  <conditionalFormatting sqref="AG15:AG17">
    <cfRule type="cellIs" priority="196" stopIfTrue="1" operator="equal">
      <formula>"B"</formula>
    </cfRule>
    <cfRule type="cellIs" dxfId="2157" priority="197" stopIfTrue="1" operator="equal">
      <formula>"M"</formula>
    </cfRule>
    <cfRule type="cellIs" dxfId="2156" priority="198" stopIfTrue="1" operator="equal">
      <formula>"NB"</formula>
    </cfRule>
    <cfRule type="cellIs" dxfId="2155" priority="199" stopIfTrue="1" operator="equal">
      <formula>0</formula>
    </cfRule>
  </conditionalFormatting>
  <conditionalFormatting sqref="AG9:AG14">
    <cfRule type="cellIs" dxfId="2154" priority="193" stopIfTrue="1" operator="equal">
      <formula>"B"</formula>
    </cfRule>
    <cfRule type="cellIs" dxfId="2153" priority="194" stopIfTrue="1" operator="equal">
      <formula>"M"</formula>
    </cfRule>
    <cfRule type="cellIs" dxfId="2152" priority="195" stopIfTrue="1" operator="between">
      <formula>"NB"</formula>
      <formula>"NB^"</formula>
    </cfRule>
  </conditionalFormatting>
  <conditionalFormatting sqref="F8">
    <cfRule type="cellIs" dxfId="2151" priority="175" stopIfTrue="1" operator="equal">
      <formula>"B"</formula>
    </cfRule>
    <cfRule type="cellIs" dxfId="2150" priority="176" stopIfTrue="1" operator="equal">
      <formula>"M"</formula>
    </cfRule>
    <cfRule type="cellIs" dxfId="2149" priority="177" stopIfTrue="1" operator="between">
      <formula>"NB"</formula>
      <formula>"NB^"</formula>
    </cfRule>
  </conditionalFormatting>
  <conditionalFormatting sqref="F9:F14">
    <cfRule type="cellIs" dxfId="2148" priority="187" stopIfTrue="1" operator="equal">
      <formula>"B"</formula>
    </cfRule>
    <cfRule type="cellIs" dxfId="2147" priority="188" stopIfTrue="1" operator="equal">
      <formula>"M"</formula>
    </cfRule>
    <cfRule type="cellIs" dxfId="2146" priority="189" stopIfTrue="1" operator="between">
      <formula>"NB"</formula>
      <formula>"NB^"</formula>
    </cfRule>
  </conditionalFormatting>
  <conditionalFormatting sqref="F15:F17">
    <cfRule type="cellIs" dxfId="2145" priority="184" stopIfTrue="1" operator="equal">
      <formula>"B"</formula>
    </cfRule>
    <cfRule type="cellIs" dxfId="2144" priority="185" stopIfTrue="1" operator="equal">
      <formula>"M"</formula>
    </cfRule>
    <cfRule type="cellIs" dxfId="2143" priority="186" stopIfTrue="1" operator="between">
      <formula>"NB"</formula>
      <formula>"NB^"</formula>
    </cfRule>
  </conditionalFormatting>
  <conditionalFormatting sqref="F18:F21">
    <cfRule type="cellIs" dxfId="2142" priority="181" stopIfTrue="1" operator="equal">
      <formula>"B"</formula>
    </cfRule>
    <cfRule type="cellIs" dxfId="2141" priority="182" stopIfTrue="1" operator="equal">
      <formula>"M"</formula>
    </cfRule>
    <cfRule type="cellIs" dxfId="2140" priority="183" stopIfTrue="1" operator="between">
      <formula>"NB"</formula>
      <formula>"NB^"</formula>
    </cfRule>
  </conditionalFormatting>
  <conditionalFormatting sqref="F6:F7">
    <cfRule type="cellIs" dxfId="2139" priority="178" stopIfTrue="1" operator="equal">
      <formula>"B"</formula>
    </cfRule>
    <cfRule type="cellIs" dxfId="2138" priority="179" stopIfTrue="1" operator="equal">
      <formula>"M"</formula>
    </cfRule>
    <cfRule type="cellIs" dxfId="2137" priority="180" stopIfTrue="1" operator="between">
      <formula>"NB"</formula>
      <formula>"NB^"</formula>
    </cfRule>
  </conditionalFormatting>
  <conditionalFormatting sqref="G8">
    <cfRule type="cellIs" dxfId="2136" priority="160" stopIfTrue="1" operator="equal">
      <formula>"B"</formula>
    </cfRule>
    <cfRule type="cellIs" dxfId="2135" priority="161" stopIfTrue="1" operator="equal">
      <formula>"M"</formula>
    </cfRule>
    <cfRule type="cellIs" dxfId="2134" priority="162" stopIfTrue="1" operator="between">
      <formula>"NB"</formula>
      <formula>"NB^"</formula>
    </cfRule>
  </conditionalFormatting>
  <conditionalFormatting sqref="G9:G14">
    <cfRule type="cellIs" dxfId="2133" priority="172" stopIfTrue="1" operator="equal">
      <formula>"B"</formula>
    </cfRule>
    <cfRule type="cellIs" dxfId="2132" priority="173" stopIfTrue="1" operator="equal">
      <formula>"M"</formula>
    </cfRule>
    <cfRule type="cellIs" dxfId="2131" priority="174" stopIfTrue="1" operator="between">
      <formula>"NB"</formula>
      <formula>"NB^"</formula>
    </cfRule>
  </conditionalFormatting>
  <conditionalFormatting sqref="G15:G17">
    <cfRule type="cellIs" dxfId="2130" priority="169" stopIfTrue="1" operator="equal">
      <formula>"B"</formula>
    </cfRule>
    <cfRule type="cellIs" dxfId="2129" priority="170" stopIfTrue="1" operator="equal">
      <formula>"M"</formula>
    </cfRule>
    <cfRule type="cellIs" dxfId="2128" priority="171" stopIfTrue="1" operator="between">
      <formula>"NB"</formula>
      <formula>"NB^"</formula>
    </cfRule>
  </conditionalFormatting>
  <conditionalFormatting sqref="G18:G21">
    <cfRule type="cellIs" dxfId="2127" priority="166" stopIfTrue="1" operator="equal">
      <formula>"B"</formula>
    </cfRule>
    <cfRule type="cellIs" dxfId="2126" priority="167" stopIfTrue="1" operator="equal">
      <formula>"M"</formula>
    </cfRule>
    <cfRule type="cellIs" dxfId="2125" priority="168" stopIfTrue="1" operator="between">
      <formula>"NB"</formula>
      <formula>"NB^"</formula>
    </cfRule>
  </conditionalFormatting>
  <conditionalFormatting sqref="G6:G7">
    <cfRule type="cellIs" dxfId="2124" priority="163" stopIfTrue="1" operator="equal">
      <formula>"B"</formula>
    </cfRule>
    <cfRule type="cellIs" dxfId="2123" priority="164" stopIfTrue="1" operator="equal">
      <formula>"M"</formula>
    </cfRule>
    <cfRule type="cellIs" dxfId="2122" priority="165" stopIfTrue="1" operator="between">
      <formula>"NB"</formula>
      <formula>"NB^"</formula>
    </cfRule>
  </conditionalFormatting>
  <conditionalFormatting sqref="H22:H24 H27">
    <cfRule type="cellIs" dxfId="2121" priority="157" stopIfTrue="1" operator="equal">
      <formula>"M"</formula>
    </cfRule>
    <cfRule type="cellIs" dxfId="2120" priority="158" stopIfTrue="1" operator="equal">
      <formula>"NB"</formula>
    </cfRule>
    <cfRule type="cellIs" dxfId="2119" priority="159" stopIfTrue="1" operator="equal">
      <formula>"B"</formula>
    </cfRule>
  </conditionalFormatting>
  <conditionalFormatting sqref="H25:H26">
    <cfRule type="cellIs" dxfId="2118" priority="154" stopIfTrue="1" operator="equal">
      <formula>"B"</formula>
    </cfRule>
    <cfRule type="cellIs" dxfId="2117" priority="155" stopIfTrue="1" operator="equal">
      <formula>"M"</formula>
    </cfRule>
    <cfRule type="cellIs" dxfId="2116" priority="156" stopIfTrue="1" operator="between">
      <formula>"NB"</formula>
      <formula>"NB^"</formula>
    </cfRule>
  </conditionalFormatting>
  <conditionalFormatting sqref="H8">
    <cfRule type="cellIs" dxfId="2115" priority="139" stopIfTrue="1" operator="equal">
      <formula>"B"</formula>
    </cfRule>
    <cfRule type="cellIs" dxfId="2114" priority="140" stopIfTrue="1" operator="equal">
      <formula>"M"</formula>
    </cfRule>
    <cfRule type="cellIs" dxfId="2113" priority="141" stopIfTrue="1" operator="between">
      <formula>"NB"</formula>
      <formula>"NB^"</formula>
    </cfRule>
  </conditionalFormatting>
  <conditionalFormatting sqref="H9:H14">
    <cfRule type="cellIs" dxfId="2112" priority="151" stopIfTrue="1" operator="equal">
      <formula>"B"</formula>
    </cfRule>
    <cfRule type="cellIs" dxfId="2111" priority="152" stopIfTrue="1" operator="equal">
      <formula>"M"</formula>
    </cfRule>
    <cfRule type="cellIs" dxfId="2110" priority="153" stopIfTrue="1" operator="between">
      <formula>"NB"</formula>
      <formula>"NB^"</formula>
    </cfRule>
  </conditionalFormatting>
  <conditionalFormatting sqref="H15:H17">
    <cfRule type="cellIs" dxfId="2109" priority="148" stopIfTrue="1" operator="equal">
      <formula>"B"</formula>
    </cfRule>
    <cfRule type="cellIs" dxfId="2108" priority="149" stopIfTrue="1" operator="equal">
      <formula>"M"</formula>
    </cfRule>
    <cfRule type="cellIs" dxfId="2107" priority="150" stopIfTrue="1" operator="between">
      <formula>"NB"</formula>
      <formula>"NB^"</formula>
    </cfRule>
  </conditionalFormatting>
  <conditionalFormatting sqref="H18:H21">
    <cfRule type="cellIs" dxfId="2106" priority="145" stopIfTrue="1" operator="equal">
      <formula>"B"</formula>
    </cfRule>
    <cfRule type="cellIs" dxfId="2105" priority="146" stopIfTrue="1" operator="equal">
      <formula>"M"</formula>
    </cfRule>
    <cfRule type="cellIs" dxfId="2104" priority="147" stopIfTrue="1" operator="between">
      <formula>"NB"</formula>
      <formula>"NB^"</formula>
    </cfRule>
  </conditionalFormatting>
  <conditionalFormatting sqref="H6:H7">
    <cfRule type="cellIs" dxfId="2103" priority="142" stopIfTrue="1" operator="equal">
      <formula>"B"</formula>
    </cfRule>
    <cfRule type="cellIs" dxfId="2102" priority="143" stopIfTrue="1" operator="equal">
      <formula>"M"</formula>
    </cfRule>
    <cfRule type="cellIs" dxfId="2101" priority="144" stopIfTrue="1" operator="between">
      <formula>"NB"</formula>
      <formula>"NB^"</formula>
    </cfRule>
  </conditionalFormatting>
  <conditionalFormatting sqref="I28:M35">
    <cfRule type="cellIs" dxfId="2100" priority="136" stopIfTrue="1" operator="equal">
      <formula>"M"</formula>
    </cfRule>
    <cfRule type="cellIs" dxfId="2099" priority="137" stopIfTrue="1" operator="equal">
      <formula>"NB"</formula>
    </cfRule>
    <cfRule type="cellIs" dxfId="2098" priority="138" stopIfTrue="1" operator="equal">
      <formula>"B"</formula>
    </cfRule>
  </conditionalFormatting>
  <conditionalFormatting sqref="I28:M29">
    <cfRule type="cellIs" dxfId="2097" priority="135" operator="equal">
      <formula>0</formula>
    </cfRule>
  </conditionalFormatting>
  <conditionalFormatting sqref="I22:L24 M23:N24 I27:M27">
    <cfRule type="cellIs" dxfId="2096" priority="132" stopIfTrue="1" operator="equal">
      <formula>"M"</formula>
    </cfRule>
    <cfRule type="cellIs" dxfId="2095" priority="133" stopIfTrue="1" operator="equal">
      <formula>"NB"</formula>
    </cfRule>
    <cfRule type="cellIs" dxfId="2094" priority="134" stopIfTrue="1" operator="equal">
      <formula>"B"</formula>
    </cfRule>
  </conditionalFormatting>
  <conditionalFormatting sqref="I25:N26">
    <cfRule type="cellIs" dxfId="2093" priority="129" stopIfTrue="1" operator="equal">
      <formula>"B"</formula>
    </cfRule>
    <cfRule type="cellIs" dxfId="2092" priority="130" stopIfTrue="1" operator="equal">
      <formula>"M"</formula>
    </cfRule>
    <cfRule type="cellIs" dxfId="2091" priority="131" stopIfTrue="1" operator="between">
      <formula>"NB"</formula>
      <formula>"NB^"</formula>
    </cfRule>
  </conditionalFormatting>
  <conditionalFormatting sqref="I8:M8">
    <cfRule type="cellIs" dxfId="2090" priority="114" stopIfTrue="1" operator="equal">
      <formula>"B"</formula>
    </cfRule>
    <cfRule type="cellIs" dxfId="2089" priority="115" stopIfTrue="1" operator="equal">
      <formula>"M"</formula>
    </cfRule>
    <cfRule type="cellIs" dxfId="2088" priority="116" stopIfTrue="1" operator="between">
      <formula>"NB"</formula>
      <formula>"NB^"</formula>
    </cfRule>
  </conditionalFormatting>
  <conditionalFormatting sqref="I9:L14">
    <cfRule type="cellIs" dxfId="2087" priority="126" stopIfTrue="1" operator="equal">
      <formula>"B"</formula>
    </cfRule>
    <cfRule type="cellIs" dxfId="2086" priority="127" stopIfTrue="1" operator="equal">
      <formula>"M"</formula>
    </cfRule>
    <cfRule type="cellIs" dxfId="2085" priority="128" stopIfTrue="1" operator="between">
      <formula>"NB"</formula>
      <formula>"NB^"</formula>
    </cfRule>
  </conditionalFormatting>
  <conditionalFormatting sqref="I15:M17">
    <cfRule type="cellIs" dxfId="2084" priority="123" stopIfTrue="1" operator="equal">
      <formula>"B"</formula>
    </cfRule>
    <cfRule type="cellIs" dxfId="2083" priority="124" stopIfTrue="1" operator="equal">
      <formula>"M"</formula>
    </cfRule>
    <cfRule type="cellIs" dxfId="2082" priority="125" stopIfTrue="1" operator="between">
      <formula>"NB"</formula>
      <formula>"NB^"</formula>
    </cfRule>
  </conditionalFormatting>
  <conditionalFormatting sqref="I18:M21">
    <cfRule type="cellIs" dxfId="2081" priority="120" stopIfTrue="1" operator="equal">
      <formula>"B"</formula>
    </cfRule>
    <cfRule type="cellIs" dxfId="2080" priority="121" stopIfTrue="1" operator="equal">
      <formula>"M"</formula>
    </cfRule>
    <cfRule type="cellIs" dxfId="2079" priority="122" stopIfTrue="1" operator="between">
      <formula>"NB"</formula>
      <formula>"NB^"</formula>
    </cfRule>
  </conditionalFormatting>
  <conditionalFormatting sqref="I6:M7">
    <cfRule type="cellIs" dxfId="2078" priority="117" stopIfTrue="1" operator="equal">
      <formula>"B"</formula>
    </cfRule>
    <cfRule type="cellIs" dxfId="2077" priority="118" stopIfTrue="1" operator="equal">
      <formula>"M"</formula>
    </cfRule>
    <cfRule type="cellIs" dxfId="2076" priority="119" stopIfTrue="1" operator="between">
      <formula>"NB"</formula>
      <formula>"NB^"</formula>
    </cfRule>
  </conditionalFormatting>
  <conditionalFormatting sqref="P22:Q24">
    <cfRule type="cellIs" dxfId="2075" priority="111" stopIfTrue="1" operator="equal">
      <formula>"M"</formula>
    </cfRule>
    <cfRule type="cellIs" dxfId="2074" priority="112" stopIfTrue="1" operator="equal">
      <formula>"NB"</formula>
    </cfRule>
    <cfRule type="cellIs" dxfId="2073" priority="113" stopIfTrue="1" operator="equal">
      <formula>"B"</formula>
    </cfRule>
  </conditionalFormatting>
  <conditionalFormatting sqref="P28:Q29">
    <cfRule type="cellIs" dxfId="2072" priority="108" stopIfTrue="1" operator="equal">
      <formula>"M"</formula>
    </cfRule>
    <cfRule type="cellIs" dxfId="2071" priority="109" stopIfTrue="1" operator="equal">
      <formula>"NB"</formula>
    </cfRule>
    <cfRule type="cellIs" dxfId="2070" priority="110" stopIfTrue="1" operator="equal">
      <formula>"B"</formula>
    </cfRule>
  </conditionalFormatting>
  <conditionalFormatting sqref="P28:Q29">
    <cfRule type="cellIs" dxfId="2069" priority="107" operator="equal">
      <formula>0</formula>
    </cfRule>
  </conditionalFormatting>
  <conditionalFormatting sqref="P25:Q26">
    <cfRule type="cellIs" dxfId="2068" priority="104" stopIfTrue="1" operator="equal">
      <formula>"M"</formula>
    </cfRule>
    <cfRule type="cellIs" dxfId="2067" priority="105" stopIfTrue="1" operator="equal">
      <formula>"NB"</formula>
    </cfRule>
    <cfRule type="cellIs" dxfId="2066" priority="106" stopIfTrue="1" operator="equal">
      <formula>"B"</formula>
    </cfRule>
  </conditionalFormatting>
  <conditionalFormatting sqref="P18:Q21 P6:Q8 P27:Q27 P30:Q35">
    <cfRule type="cellIs" dxfId="2065" priority="101" stopIfTrue="1" operator="equal">
      <formula>"M"</formula>
    </cfRule>
    <cfRule type="cellIs" dxfId="2064" priority="102" stopIfTrue="1" operator="equal">
      <formula>"NB"</formula>
    </cfRule>
    <cfRule type="cellIs" dxfId="2063" priority="103" stopIfTrue="1" operator="equal">
      <formula>"B"</formula>
    </cfRule>
  </conditionalFormatting>
  <conditionalFormatting sqref="P15:P17">
    <cfRule type="cellIs" priority="97" stopIfTrue="1" operator="equal">
      <formula>"B"</formula>
    </cfRule>
    <cfRule type="cellIs" dxfId="2062" priority="98" stopIfTrue="1" operator="equal">
      <formula>"M"</formula>
    </cfRule>
    <cfRule type="cellIs" dxfId="2061" priority="99" stopIfTrue="1" operator="equal">
      <formula>"NB"</formula>
    </cfRule>
    <cfRule type="cellIs" dxfId="2060" priority="100" stopIfTrue="1" operator="equal">
      <formula>0</formula>
    </cfRule>
  </conditionalFormatting>
  <conditionalFormatting sqref="P9:Q14">
    <cfRule type="cellIs" dxfId="2059" priority="94" stopIfTrue="1" operator="equal">
      <formula>"B"</formula>
    </cfRule>
    <cfRule type="cellIs" dxfId="2058" priority="95" stopIfTrue="1" operator="equal">
      <formula>"M"</formula>
    </cfRule>
    <cfRule type="cellIs" dxfId="2057" priority="96" stopIfTrue="1" operator="between">
      <formula>"NB"</formula>
      <formula>"NB^"</formula>
    </cfRule>
  </conditionalFormatting>
  <conditionalFormatting sqref="T6:T8">
    <cfRule type="cellIs" dxfId="2056" priority="91" stopIfTrue="1" operator="equal">
      <formula>"M"</formula>
    </cfRule>
    <cfRule type="cellIs" dxfId="2055" priority="92" stopIfTrue="1" operator="equal">
      <formula>"NB"</formula>
    </cfRule>
    <cfRule type="cellIs" dxfId="2054" priority="93" stopIfTrue="1" operator="equal">
      <formula>"B"</formula>
    </cfRule>
  </conditionalFormatting>
  <conditionalFormatting sqref="T9:T14">
    <cfRule type="cellIs" dxfId="2053" priority="88" stopIfTrue="1" operator="equal">
      <formula>"B"</formula>
    </cfRule>
    <cfRule type="cellIs" dxfId="2052" priority="89" stopIfTrue="1" operator="equal">
      <formula>"M"</formula>
    </cfRule>
    <cfRule type="cellIs" dxfId="2051" priority="90" stopIfTrue="1" operator="between">
      <formula>"NB"</formula>
      <formula>"NB^"</formula>
    </cfRule>
  </conditionalFormatting>
  <conditionalFormatting sqref="V23:V24">
    <cfRule type="cellIs" dxfId="2050" priority="85" stopIfTrue="1" operator="equal">
      <formula>"M"</formula>
    </cfRule>
    <cfRule type="cellIs" dxfId="2049" priority="86" stopIfTrue="1" operator="equal">
      <formula>"NB"</formula>
    </cfRule>
    <cfRule type="cellIs" dxfId="2048" priority="87" stopIfTrue="1" operator="equal">
      <formula>"B"</formula>
    </cfRule>
  </conditionalFormatting>
  <conditionalFormatting sqref="V6:V8 V18:V22 V27:V28 V30:V35">
    <cfRule type="cellIs" dxfId="2047" priority="82" stopIfTrue="1" operator="equal">
      <formula>"M"</formula>
    </cfRule>
    <cfRule type="cellIs" dxfId="2046" priority="83" stopIfTrue="1" operator="equal">
      <formula>"NB"</formula>
    </cfRule>
    <cfRule type="cellIs" dxfId="2045" priority="84" stopIfTrue="1" operator="equal">
      <formula>"B"</formula>
    </cfRule>
  </conditionalFormatting>
  <conditionalFormatting sqref="V28">
    <cfRule type="cellIs" dxfId="2044" priority="81" operator="equal">
      <formula>0</formula>
    </cfRule>
  </conditionalFormatting>
  <conditionalFormatting sqref="V25:V26">
    <cfRule type="cellIs" dxfId="2043" priority="74" stopIfTrue="1" operator="equal">
      <formula>"M"</formula>
    </cfRule>
    <cfRule type="cellIs" dxfId="2042" priority="75" stopIfTrue="1" operator="equal">
      <formula>"NB"</formula>
    </cfRule>
    <cfRule type="cellIs" dxfId="2041" priority="76" stopIfTrue="1" operator="equal">
      <formula>"B"</formula>
    </cfRule>
  </conditionalFormatting>
  <conditionalFormatting sqref="V9:V14">
    <cfRule type="cellIs" dxfId="2040" priority="71" stopIfTrue="1" operator="equal">
      <formula>"B"</formula>
    </cfRule>
    <cfRule type="cellIs" dxfId="2039" priority="72" stopIfTrue="1" operator="equal">
      <formula>"M"</formula>
    </cfRule>
    <cfRule type="cellIs" dxfId="2038" priority="73" stopIfTrue="1" operator="between">
      <formula>"NB"</formula>
      <formula>"NB^"</formula>
    </cfRule>
  </conditionalFormatting>
  <conditionalFormatting sqref="Q15 S15:X15 Q16:X17">
    <cfRule type="cellIs" priority="67" stopIfTrue="1" operator="equal">
      <formula>"B"</formula>
    </cfRule>
    <cfRule type="cellIs" dxfId="2037" priority="68" stopIfTrue="1" operator="equal">
      <formula>"M"</formula>
    </cfRule>
    <cfRule type="cellIs" dxfId="2036" priority="69" stopIfTrue="1" operator="equal">
      <formula>"NB"</formula>
    </cfRule>
    <cfRule type="cellIs" dxfId="2035" priority="70" stopIfTrue="1" operator="equal">
      <formula>0</formula>
    </cfRule>
  </conditionalFormatting>
  <conditionalFormatting sqref="R15">
    <cfRule type="cellIs" dxfId="2034" priority="64" stopIfTrue="1" operator="equal">
      <formula>"B"</formula>
    </cfRule>
    <cfRule type="cellIs" dxfId="2033" priority="65" stopIfTrue="1" operator="equal">
      <formula>"M"</formula>
    </cfRule>
    <cfRule type="cellIs" dxfId="2032" priority="66" stopIfTrue="1" operator="between">
      <formula>"NB"</formula>
      <formula>"NB^"</formula>
    </cfRule>
  </conditionalFormatting>
  <conditionalFormatting sqref="Y28:AA35">
    <cfRule type="cellIs" dxfId="2031" priority="61" stopIfTrue="1" operator="equal">
      <formula>"M"</formula>
    </cfRule>
    <cfRule type="cellIs" dxfId="2030" priority="62" stopIfTrue="1" operator="equal">
      <formula>"NB"</formula>
    </cfRule>
    <cfRule type="cellIs" dxfId="2029" priority="63" stopIfTrue="1" operator="equal">
      <formula>"B"</formula>
    </cfRule>
  </conditionalFormatting>
  <conditionalFormatting sqref="Y28:AA29">
    <cfRule type="cellIs" dxfId="2028" priority="60" operator="equal">
      <formula>0</formula>
    </cfRule>
  </conditionalFormatting>
  <conditionalFormatting sqref="Y22:AA24 Y27:AA27 AB23:AF24">
    <cfRule type="cellIs" dxfId="2027" priority="57" stopIfTrue="1" operator="equal">
      <formula>"M"</formula>
    </cfRule>
    <cfRule type="cellIs" dxfId="2026" priority="58" stopIfTrue="1" operator="equal">
      <formula>"NB"</formula>
    </cfRule>
    <cfRule type="cellIs" dxfId="2025" priority="59" stopIfTrue="1" operator="equal">
      <formula>"B"</formula>
    </cfRule>
  </conditionalFormatting>
  <conditionalFormatting sqref="Y25:AF26">
    <cfRule type="cellIs" dxfId="2024" priority="54" stopIfTrue="1" operator="equal">
      <formula>"B"</formula>
    </cfRule>
    <cfRule type="cellIs" dxfId="2023" priority="55" stopIfTrue="1" operator="equal">
      <formula>"M"</formula>
    </cfRule>
    <cfRule type="cellIs" dxfId="2022" priority="56" stopIfTrue="1" operator="between">
      <formula>"NB"</formula>
      <formula>"NB^"</formula>
    </cfRule>
  </conditionalFormatting>
  <conditionalFormatting sqref="Y8:AA8">
    <cfRule type="cellIs" dxfId="2021" priority="39" stopIfTrue="1" operator="equal">
      <formula>"B"</formula>
    </cfRule>
    <cfRule type="cellIs" dxfId="2020" priority="40" stopIfTrue="1" operator="equal">
      <formula>"M"</formula>
    </cfRule>
    <cfRule type="cellIs" dxfId="2019" priority="41" stopIfTrue="1" operator="between">
      <formula>"NB"</formula>
      <formula>"NB^"</formula>
    </cfRule>
  </conditionalFormatting>
  <conditionalFormatting sqref="Y9:AA14">
    <cfRule type="cellIs" dxfId="2018" priority="51" stopIfTrue="1" operator="equal">
      <formula>"B"</formula>
    </cfRule>
    <cfRule type="cellIs" dxfId="2017" priority="52" stopIfTrue="1" operator="equal">
      <formula>"M"</formula>
    </cfRule>
    <cfRule type="cellIs" dxfId="2016" priority="53" stopIfTrue="1" operator="between">
      <formula>"NB"</formula>
      <formula>"NB^"</formula>
    </cfRule>
  </conditionalFormatting>
  <conditionalFormatting sqref="Y15:AA17">
    <cfRule type="cellIs" dxfId="2015" priority="48" stopIfTrue="1" operator="equal">
      <formula>"B"</formula>
    </cfRule>
    <cfRule type="cellIs" dxfId="2014" priority="49" stopIfTrue="1" operator="equal">
      <formula>"M"</formula>
    </cfRule>
    <cfRule type="cellIs" dxfId="2013" priority="50" stopIfTrue="1" operator="between">
      <formula>"NB"</formula>
      <formula>"NB^"</formula>
    </cfRule>
  </conditionalFormatting>
  <conditionalFormatting sqref="Y18:AA21">
    <cfRule type="cellIs" dxfId="2012" priority="45" stopIfTrue="1" operator="equal">
      <formula>"B"</formula>
    </cfRule>
    <cfRule type="cellIs" dxfId="2011" priority="46" stopIfTrue="1" operator="equal">
      <formula>"M"</formula>
    </cfRule>
    <cfRule type="cellIs" dxfId="2010" priority="47" stopIfTrue="1" operator="between">
      <formula>"NB"</formula>
      <formula>"NB^"</formula>
    </cfRule>
  </conditionalFormatting>
  <conditionalFormatting sqref="Y6:AA7">
    <cfRule type="cellIs" dxfId="2009" priority="42" stopIfTrue="1" operator="equal">
      <formula>"B"</formula>
    </cfRule>
    <cfRule type="cellIs" dxfId="2008" priority="43" stopIfTrue="1" operator="equal">
      <formula>"M"</formula>
    </cfRule>
    <cfRule type="cellIs" dxfId="2007" priority="44" stopIfTrue="1" operator="between">
      <formula>"NB"</formula>
      <formula>"NB^"</formula>
    </cfRule>
  </conditionalFormatting>
  <conditionalFormatting sqref="AB22:AF22">
    <cfRule type="cellIs" dxfId="2006" priority="36" stopIfTrue="1" operator="equal">
      <formula>"M"</formula>
    </cfRule>
    <cfRule type="cellIs" dxfId="2005" priority="37" stopIfTrue="1" operator="equal">
      <formula>"NB"</formula>
    </cfRule>
    <cfRule type="cellIs" dxfId="2004" priority="38" stopIfTrue="1" operator="equal">
      <formula>"B"</formula>
    </cfRule>
  </conditionalFormatting>
  <conditionalFormatting sqref="AB8:AF8">
    <cfRule type="cellIs" dxfId="2003" priority="21" stopIfTrue="1" operator="equal">
      <formula>"B"</formula>
    </cfRule>
    <cfRule type="cellIs" dxfId="2002" priority="22" stopIfTrue="1" operator="equal">
      <formula>"M"</formula>
    </cfRule>
    <cfRule type="cellIs" dxfId="2001" priority="23" stopIfTrue="1" operator="between">
      <formula>"NB"</formula>
      <formula>"NB^"</formula>
    </cfRule>
  </conditionalFormatting>
  <conditionalFormatting sqref="AB9:AF14">
    <cfRule type="cellIs" dxfId="2000" priority="33" stopIfTrue="1" operator="equal">
      <formula>"B"</formula>
    </cfRule>
    <cfRule type="cellIs" dxfId="1999" priority="34" stopIfTrue="1" operator="equal">
      <formula>"M"</formula>
    </cfRule>
    <cfRule type="cellIs" dxfId="1998" priority="35" stopIfTrue="1" operator="between">
      <formula>"NB"</formula>
      <formula>"NB^"</formula>
    </cfRule>
  </conditionalFormatting>
  <conditionalFormatting sqref="AB15:AF17">
    <cfRule type="cellIs" dxfId="1997" priority="30" stopIfTrue="1" operator="equal">
      <formula>"B"</formula>
    </cfRule>
    <cfRule type="cellIs" dxfId="1996" priority="31" stopIfTrue="1" operator="equal">
      <formula>"M"</formula>
    </cfRule>
    <cfRule type="cellIs" dxfId="1995" priority="32" stopIfTrue="1" operator="between">
      <formula>"NB"</formula>
      <formula>"NB^"</formula>
    </cfRule>
  </conditionalFormatting>
  <conditionalFormatting sqref="AB18:AF21">
    <cfRule type="cellIs" dxfId="1994" priority="27" stopIfTrue="1" operator="equal">
      <formula>"B"</formula>
    </cfRule>
    <cfRule type="cellIs" dxfId="1993" priority="28" stopIfTrue="1" operator="equal">
      <formula>"M"</formula>
    </cfRule>
    <cfRule type="cellIs" dxfId="1992" priority="29" stopIfTrue="1" operator="between">
      <formula>"NB"</formula>
      <formula>"NB^"</formula>
    </cfRule>
  </conditionalFormatting>
  <conditionalFormatting sqref="AB6:AF7">
    <cfRule type="cellIs" dxfId="1991" priority="24" stopIfTrue="1" operator="equal">
      <formula>"B"</formula>
    </cfRule>
    <cfRule type="cellIs" dxfId="1990" priority="25" stopIfTrue="1" operator="equal">
      <formula>"M"</formula>
    </cfRule>
    <cfRule type="cellIs" dxfId="1989" priority="26" stopIfTrue="1" operator="between">
      <formula>"NB"</formula>
      <formula>"NB^"</formula>
    </cfRule>
  </conditionalFormatting>
  <conditionalFormatting sqref="AB28:AF35">
    <cfRule type="cellIs" dxfId="1988" priority="18" stopIfTrue="1" operator="equal">
      <formula>"M"</formula>
    </cfRule>
    <cfRule type="cellIs" dxfId="1987" priority="19" stopIfTrue="1" operator="equal">
      <formula>"NB"</formula>
    </cfRule>
    <cfRule type="cellIs" dxfId="1986" priority="20" stopIfTrue="1" operator="equal">
      <formula>"B"</formula>
    </cfRule>
  </conditionalFormatting>
  <conditionalFormatting sqref="AB28:AF29">
    <cfRule type="cellIs" dxfId="1985" priority="17" operator="equal">
      <formula>0</formula>
    </cfRule>
  </conditionalFormatting>
  <conditionalFormatting sqref="AB27:AF27">
    <cfRule type="cellIs" dxfId="1984" priority="14" stopIfTrue="1" operator="equal">
      <formula>"M"</formula>
    </cfRule>
    <cfRule type="cellIs" dxfId="1983" priority="15" stopIfTrue="1" operator="equal">
      <formula>"NB"</formula>
    </cfRule>
    <cfRule type="cellIs" dxfId="1982" priority="16" stopIfTrue="1" operator="equal">
      <formula>"B"</formula>
    </cfRule>
  </conditionalFormatting>
  <conditionalFormatting sqref="AH22:AH27">
    <cfRule type="cellIs" dxfId="1981" priority="11" stopIfTrue="1" operator="equal">
      <formula>"M"</formula>
    </cfRule>
    <cfRule type="cellIs" dxfId="1980" priority="12" stopIfTrue="1" operator="equal">
      <formula>"NB"</formula>
    </cfRule>
    <cfRule type="cellIs" dxfId="1979" priority="13" stopIfTrue="1" operator="equal">
      <formula>"B"</formula>
    </cfRule>
  </conditionalFormatting>
  <conditionalFormatting sqref="AH6:AH8 AH18:AH21">
    <cfRule type="cellIs" dxfId="1978" priority="8" stopIfTrue="1" operator="equal">
      <formula>"M"</formula>
    </cfRule>
    <cfRule type="cellIs" dxfId="1977" priority="9" stopIfTrue="1" operator="equal">
      <formula>"NB"</formula>
    </cfRule>
    <cfRule type="cellIs" dxfId="1976" priority="10" stopIfTrue="1" operator="equal">
      <formula>"B"</formula>
    </cfRule>
  </conditionalFormatting>
  <conditionalFormatting sqref="AH15:AH17">
    <cfRule type="cellIs" priority="4" stopIfTrue="1" operator="equal">
      <formula>"B"</formula>
    </cfRule>
    <cfRule type="cellIs" dxfId="1975" priority="5" stopIfTrue="1" operator="equal">
      <formula>"M"</formula>
    </cfRule>
    <cfRule type="cellIs" dxfId="1974" priority="6" stopIfTrue="1" operator="equal">
      <formula>"NB"</formula>
    </cfRule>
    <cfRule type="cellIs" dxfId="1973" priority="7" stopIfTrue="1" operator="equal">
      <formula>0</formula>
    </cfRule>
  </conditionalFormatting>
  <conditionalFormatting sqref="AH9:AH14">
    <cfRule type="cellIs" dxfId="1972" priority="1" stopIfTrue="1" operator="equal">
      <formula>"B"</formula>
    </cfRule>
    <cfRule type="cellIs" dxfId="1971" priority="2" stopIfTrue="1" operator="equal">
      <formula>"M"</formula>
    </cfRule>
    <cfRule type="cellIs" dxfId="1970" priority="3" stopIfTrue="1" operator="between">
      <formula>"NB"</formula>
      <formula>"NB^"</formula>
    </cfRule>
  </conditionalFormatting>
  <pageMargins left="0.75" right="0.75" top="1" bottom="1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R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4" width="5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91</v>
      </c>
    </row>
    <row r="3" spans="1:44" ht="23.25" x14ac:dyDescent="0.35">
      <c r="A3" s="1" t="s">
        <v>2</v>
      </c>
      <c r="P3" s="4" t="s">
        <v>102</v>
      </c>
    </row>
    <row r="4" spans="1:44" s="5" customFormat="1" ht="15.75" customHeight="1" thickBot="1" x14ac:dyDescent="0.3">
      <c r="C4" s="6"/>
      <c r="D4" s="6"/>
      <c r="I4" s="6" t="s">
        <v>3</v>
      </c>
      <c r="J4" s="5" t="s">
        <v>3</v>
      </c>
      <c r="P4" s="5" t="s">
        <v>3</v>
      </c>
      <c r="Q4" s="5" t="s">
        <v>3</v>
      </c>
      <c r="R4" s="5" t="s">
        <v>4</v>
      </c>
      <c r="W4" s="5" t="s">
        <v>3</v>
      </c>
      <c r="X4" s="5" t="s">
        <v>3</v>
      </c>
      <c r="AD4" s="5" t="s">
        <v>3</v>
      </c>
      <c r="AE4" s="5" t="s">
        <v>3</v>
      </c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131">
        <v>29</v>
      </c>
      <c r="AG5" s="105">
        <v>30</v>
      </c>
      <c r="AH5" s="106">
        <v>31</v>
      </c>
      <c r="AI5" s="11" t="s">
        <v>6</v>
      </c>
      <c r="AJ5"/>
      <c r="AK5"/>
      <c r="AL5"/>
      <c r="AM5"/>
      <c r="AN5"/>
      <c r="AO5"/>
      <c r="AP5"/>
      <c r="AQ5"/>
      <c r="AR5"/>
    </row>
    <row r="6" spans="1:44" ht="15.75" customHeight="1" x14ac:dyDescent="0.25">
      <c r="A6" s="156" t="s">
        <v>7</v>
      </c>
      <c r="B6" s="157"/>
      <c r="C6" s="158"/>
      <c r="D6" s="72" t="s">
        <v>8</v>
      </c>
      <c r="E6" s="72" t="s">
        <v>8</v>
      </c>
      <c r="F6" s="72" t="s">
        <v>8</v>
      </c>
      <c r="G6" s="72" t="s">
        <v>8</v>
      </c>
      <c r="H6" s="72" t="s">
        <v>9</v>
      </c>
      <c r="I6" s="72" t="s">
        <v>22</v>
      </c>
      <c r="J6" s="72" t="s">
        <v>9</v>
      </c>
      <c r="K6" s="72" t="s">
        <v>9</v>
      </c>
      <c r="L6" s="72" t="s">
        <v>9</v>
      </c>
      <c r="M6" s="72" t="s">
        <v>9</v>
      </c>
      <c r="N6" s="72" t="s">
        <v>8</v>
      </c>
      <c r="O6" s="72" t="s">
        <v>8</v>
      </c>
      <c r="P6" s="72" t="s">
        <v>8</v>
      </c>
      <c r="Q6" s="72" t="s">
        <v>8</v>
      </c>
      <c r="R6" s="72" t="s">
        <v>8</v>
      </c>
      <c r="S6" s="72" t="s">
        <v>8</v>
      </c>
      <c r="T6" s="72" t="s">
        <v>8</v>
      </c>
      <c r="U6" s="72" t="s">
        <v>9</v>
      </c>
      <c r="V6" s="72" t="s">
        <v>8</v>
      </c>
      <c r="W6" s="72" t="s">
        <v>9</v>
      </c>
      <c r="X6" s="72" t="s">
        <v>9</v>
      </c>
      <c r="Y6" s="72" t="s">
        <v>9</v>
      </c>
      <c r="Z6" s="72" t="s">
        <v>8</v>
      </c>
      <c r="AA6" s="72" t="s">
        <v>8</v>
      </c>
      <c r="AB6" s="72" t="s">
        <v>9</v>
      </c>
      <c r="AC6" s="72" t="s">
        <v>9</v>
      </c>
      <c r="AD6" s="72" t="s">
        <v>8</v>
      </c>
      <c r="AE6" s="72" t="s">
        <v>9</v>
      </c>
      <c r="AF6" s="132"/>
      <c r="AG6" s="107"/>
      <c r="AH6" s="107"/>
      <c r="AI6" s="13">
        <f>IF(COUNTA(D6:AH6)&gt;0,(COUNTA(D6:AH6)-COUNTIF(D6:AH6,"NB")-COUNTIF(D6:AH6,"DN")-COUNTIF(D6:AH6,"An")-COUNTIF(D6:AH6,"NB^")-COUNTIF(D6:AH6,0))/COUNTA(D6:AH6),"")</f>
        <v>1</v>
      </c>
    </row>
    <row r="7" spans="1:44" ht="15.75" customHeight="1" x14ac:dyDescent="0.25">
      <c r="A7" s="180" t="s">
        <v>10</v>
      </c>
      <c r="B7" s="181"/>
      <c r="C7" s="182"/>
      <c r="D7" s="73" t="s">
        <v>11</v>
      </c>
      <c r="E7" s="73" t="s">
        <v>11</v>
      </c>
      <c r="F7" s="73" t="s">
        <v>11</v>
      </c>
      <c r="G7" s="73" t="s">
        <v>11</v>
      </c>
      <c r="H7" s="73" t="s">
        <v>11</v>
      </c>
      <c r="I7" s="73" t="s">
        <v>22</v>
      </c>
      <c r="J7" s="73" t="s">
        <v>11</v>
      </c>
      <c r="K7" s="73" t="s">
        <v>11</v>
      </c>
      <c r="L7" s="73" t="s">
        <v>11</v>
      </c>
      <c r="M7" s="73" t="s">
        <v>11</v>
      </c>
      <c r="N7" s="73" t="s">
        <v>11</v>
      </c>
      <c r="O7" s="73" t="s">
        <v>11</v>
      </c>
      <c r="P7" s="73" t="s">
        <v>11</v>
      </c>
      <c r="Q7" s="73" t="s">
        <v>11</v>
      </c>
      <c r="R7" s="73" t="s">
        <v>11</v>
      </c>
      <c r="S7" s="73" t="s">
        <v>11</v>
      </c>
      <c r="T7" s="73" t="s">
        <v>11</v>
      </c>
      <c r="U7" s="73" t="s">
        <v>11</v>
      </c>
      <c r="V7" s="73" t="s">
        <v>11</v>
      </c>
      <c r="W7" s="73" t="s">
        <v>11</v>
      </c>
      <c r="X7" s="73" t="s">
        <v>11</v>
      </c>
      <c r="Y7" s="73" t="s">
        <v>11</v>
      </c>
      <c r="Z7" s="73" t="s">
        <v>11</v>
      </c>
      <c r="AA7" s="73" t="s">
        <v>11</v>
      </c>
      <c r="AB7" s="73" t="s">
        <v>11</v>
      </c>
      <c r="AC7" s="73" t="s">
        <v>11</v>
      </c>
      <c r="AD7" s="73" t="s">
        <v>11</v>
      </c>
      <c r="AE7" s="73" t="s">
        <v>11</v>
      </c>
      <c r="AF7" s="133"/>
      <c r="AG7" s="108"/>
      <c r="AH7" s="108"/>
      <c r="AI7" s="17">
        <f t="shared" ref="AI7:AI35" si="0">IF(COUNTA(D7:AH7)&gt;0,(COUNTA(D7:AH7)-COUNTIF(D7:AH7,"NB")-COUNTIF(D7:AH7,"DN")-COUNTIF(D7:AH7,"An")-COUNTIF(D7:AH7,"NB^")-COUNTIF(D7:AH7,0))/COUNTA(D7:AH7),"")</f>
        <v>1</v>
      </c>
    </row>
    <row r="8" spans="1:44" ht="15.75" customHeight="1" x14ac:dyDescent="0.25">
      <c r="A8" s="162" t="s">
        <v>93</v>
      </c>
      <c r="B8" s="163"/>
      <c r="C8" s="164"/>
      <c r="D8" s="18" t="s">
        <v>11</v>
      </c>
      <c r="E8" s="18" t="s">
        <v>11</v>
      </c>
      <c r="F8" s="18" t="s">
        <v>11</v>
      </c>
      <c r="G8" s="18" t="s">
        <v>11</v>
      </c>
      <c r="H8" s="18" t="s">
        <v>11</v>
      </c>
      <c r="I8" s="18" t="s">
        <v>22</v>
      </c>
      <c r="J8" s="18" t="s">
        <v>11</v>
      </c>
      <c r="K8" s="18" t="s">
        <v>11</v>
      </c>
      <c r="L8" s="18" t="s">
        <v>11</v>
      </c>
      <c r="M8" s="18" t="s">
        <v>11</v>
      </c>
      <c r="N8" s="18" t="s">
        <v>11</v>
      </c>
      <c r="O8" s="18" t="s">
        <v>11</v>
      </c>
      <c r="P8" s="18" t="s">
        <v>11</v>
      </c>
      <c r="Q8" s="18" t="s">
        <v>11</v>
      </c>
      <c r="R8" s="18" t="s">
        <v>11</v>
      </c>
      <c r="S8" s="18" t="s">
        <v>11</v>
      </c>
      <c r="T8" s="18" t="s">
        <v>11</v>
      </c>
      <c r="U8" s="18" t="s">
        <v>11</v>
      </c>
      <c r="V8" s="18" t="s">
        <v>11</v>
      </c>
      <c r="W8" s="18" t="s">
        <v>11</v>
      </c>
      <c r="X8" s="18" t="s">
        <v>11</v>
      </c>
      <c r="Y8" s="18" t="s">
        <v>11</v>
      </c>
      <c r="Z8" s="18" t="s">
        <v>11</v>
      </c>
      <c r="AA8" s="18" t="s">
        <v>11</v>
      </c>
      <c r="AB8" s="18" t="s">
        <v>11</v>
      </c>
      <c r="AC8" s="18" t="s">
        <v>11</v>
      </c>
      <c r="AD8" s="18" t="s">
        <v>11</v>
      </c>
      <c r="AE8" s="18" t="s">
        <v>11</v>
      </c>
      <c r="AF8" s="134"/>
      <c r="AG8" s="109"/>
      <c r="AH8" s="109"/>
      <c r="AI8" s="19">
        <f t="shared" si="0"/>
        <v>1</v>
      </c>
    </row>
    <row r="9" spans="1:44" ht="15.75" customHeight="1" x14ac:dyDescent="0.25">
      <c r="A9" s="174" t="s">
        <v>13</v>
      </c>
      <c r="B9" s="175"/>
      <c r="C9" s="176"/>
      <c r="D9" s="79" t="s">
        <v>11</v>
      </c>
      <c r="E9" s="79" t="s">
        <v>11</v>
      </c>
      <c r="F9" s="79" t="s">
        <v>11</v>
      </c>
      <c r="G9" s="79" t="s">
        <v>11</v>
      </c>
      <c r="H9" s="79" t="s">
        <v>11</v>
      </c>
      <c r="I9" s="79" t="s">
        <v>11</v>
      </c>
      <c r="J9" s="79" t="s">
        <v>11</v>
      </c>
      <c r="K9" s="79" t="s">
        <v>11</v>
      </c>
      <c r="L9" s="79" t="s">
        <v>11</v>
      </c>
      <c r="M9" s="79" t="s">
        <v>11</v>
      </c>
      <c r="N9" s="79" t="s">
        <v>11</v>
      </c>
      <c r="O9" s="79" t="s">
        <v>11</v>
      </c>
      <c r="P9" s="79" t="s">
        <v>11</v>
      </c>
      <c r="Q9" s="79" t="s">
        <v>11</v>
      </c>
      <c r="R9" s="79" t="s">
        <v>11</v>
      </c>
      <c r="S9" s="79" t="s">
        <v>11</v>
      </c>
      <c r="T9" s="79" t="s">
        <v>11</v>
      </c>
      <c r="U9" s="79" t="s">
        <v>11</v>
      </c>
      <c r="V9" s="79" t="s">
        <v>11</v>
      </c>
      <c r="W9" s="79" t="s">
        <v>11</v>
      </c>
      <c r="X9" s="79" t="s">
        <v>11</v>
      </c>
      <c r="Y9" s="79" t="s">
        <v>11</v>
      </c>
      <c r="Z9" s="79" t="s">
        <v>12</v>
      </c>
      <c r="AA9" s="79" t="s">
        <v>12</v>
      </c>
      <c r="AB9" s="79" t="s">
        <v>11</v>
      </c>
      <c r="AC9" s="79" t="s">
        <v>11</v>
      </c>
      <c r="AD9" s="79" t="s">
        <v>12</v>
      </c>
      <c r="AE9" s="79" t="s">
        <v>12</v>
      </c>
      <c r="AF9" s="132"/>
      <c r="AG9" s="107"/>
      <c r="AH9" s="110"/>
      <c r="AI9" s="13">
        <f t="shared" si="0"/>
        <v>0.8571428571428571</v>
      </c>
    </row>
    <row r="10" spans="1:44" ht="15.75" customHeight="1" x14ac:dyDescent="0.25">
      <c r="A10" s="177" t="s">
        <v>14</v>
      </c>
      <c r="B10" s="178"/>
      <c r="C10" s="179"/>
      <c r="D10" s="80" t="s">
        <v>11</v>
      </c>
      <c r="E10" s="80" t="s">
        <v>11</v>
      </c>
      <c r="F10" s="80" t="s">
        <v>11</v>
      </c>
      <c r="G10" s="80" t="s">
        <v>11</v>
      </c>
      <c r="H10" s="80" t="s">
        <v>12</v>
      </c>
      <c r="I10" s="80" t="s">
        <v>12</v>
      </c>
      <c r="J10" s="80" t="s">
        <v>11</v>
      </c>
      <c r="K10" s="80" t="s">
        <v>11</v>
      </c>
      <c r="L10" s="80" t="s">
        <v>11</v>
      </c>
      <c r="M10" s="80" t="s">
        <v>11</v>
      </c>
      <c r="N10" s="80" t="s">
        <v>11</v>
      </c>
      <c r="O10" s="80" t="s">
        <v>11</v>
      </c>
      <c r="P10" s="80" t="s">
        <v>11</v>
      </c>
      <c r="Q10" s="80" t="s">
        <v>11</v>
      </c>
      <c r="R10" s="80" t="s">
        <v>11</v>
      </c>
      <c r="S10" s="80" t="s">
        <v>11</v>
      </c>
      <c r="T10" s="80" t="s">
        <v>11</v>
      </c>
      <c r="U10" s="80" t="s">
        <v>11</v>
      </c>
      <c r="V10" s="80" t="s">
        <v>11</v>
      </c>
      <c r="W10" s="80" t="s">
        <v>11</v>
      </c>
      <c r="X10" s="80" t="s">
        <v>11</v>
      </c>
      <c r="Y10" s="80" t="s">
        <v>11</v>
      </c>
      <c r="Z10" s="80" t="s">
        <v>12</v>
      </c>
      <c r="AA10" s="80" t="s">
        <v>12</v>
      </c>
      <c r="AB10" s="80" t="s">
        <v>11</v>
      </c>
      <c r="AC10" s="80" t="s">
        <v>11</v>
      </c>
      <c r="AD10" s="80" t="s">
        <v>12</v>
      </c>
      <c r="AE10" s="80" t="s">
        <v>12</v>
      </c>
      <c r="AF10" s="135"/>
      <c r="AG10" s="111"/>
      <c r="AH10" s="112"/>
      <c r="AI10" s="21">
        <f t="shared" si="0"/>
        <v>0.7857142857142857</v>
      </c>
    </row>
    <row r="11" spans="1:44" ht="15.75" customHeight="1" x14ac:dyDescent="0.25">
      <c r="A11" s="177" t="s">
        <v>15</v>
      </c>
      <c r="B11" s="178"/>
      <c r="C11" s="179"/>
      <c r="D11" s="80" t="s">
        <v>11</v>
      </c>
      <c r="E11" s="80" t="s">
        <v>11</v>
      </c>
      <c r="F11" s="80" t="s">
        <v>11</v>
      </c>
      <c r="G11" s="80" t="s">
        <v>11</v>
      </c>
      <c r="H11" s="80" t="s">
        <v>11</v>
      </c>
      <c r="I11" s="80" t="s">
        <v>11</v>
      </c>
      <c r="J11" s="80" t="s">
        <v>11</v>
      </c>
      <c r="K11" s="80" t="s">
        <v>11</v>
      </c>
      <c r="L11" s="80" t="s">
        <v>11</v>
      </c>
      <c r="M11" s="80" t="s">
        <v>11</v>
      </c>
      <c r="N11" s="80" t="s">
        <v>11</v>
      </c>
      <c r="O11" s="80" t="s">
        <v>11</v>
      </c>
      <c r="P11" s="80" t="s">
        <v>11</v>
      </c>
      <c r="Q11" s="80" t="s">
        <v>11</v>
      </c>
      <c r="R11" s="80" t="s">
        <v>11</v>
      </c>
      <c r="S11" s="80" t="s">
        <v>11</v>
      </c>
      <c r="T11" s="80" t="s">
        <v>11</v>
      </c>
      <c r="U11" s="80" t="s">
        <v>11</v>
      </c>
      <c r="V11" s="80" t="s">
        <v>11</v>
      </c>
      <c r="W11" s="80" t="s">
        <v>11</v>
      </c>
      <c r="X11" s="80" t="s">
        <v>11</v>
      </c>
      <c r="Y11" s="80" t="s">
        <v>11</v>
      </c>
      <c r="Z11" s="80" t="s">
        <v>12</v>
      </c>
      <c r="AA11" s="80" t="s">
        <v>12</v>
      </c>
      <c r="AB11" s="80" t="s">
        <v>11</v>
      </c>
      <c r="AC11" s="80" t="s">
        <v>11</v>
      </c>
      <c r="AD11" s="80" t="s">
        <v>12</v>
      </c>
      <c r="AE11" s="80" t="s">
        <v>12</v>
      </c>
      <c r="AF11" s="135"/>
      <c r="AG11" s="111"/>
      <c r="AH11" s="112"/>
      <c r="AI11" s="21">
        <f t="shared" si="0"/>
        <v>0.8571428571428571</v>
      </c>
    </row>
    <row r="12" spans="1:44" ht="15.75" customHeight="1" x14ac:dyDescent="0.25">
      <c r="A12" s="177" t="s">
        <v>16</v>
      </c>
      <c r="B12" s="178"/>
      <c r="C12" s="179"/>
      <c r="D12" s="80" t="s">
        <v>11</v>
      </c>
      <c r="E12" s="80" t="s">
        <v>11</v>
      </c>
      <c r="F12" s="80" t="s">
        <v>11</v>
      </c>
      <c r="G12" s="80" t="s">
        <v>11</v>
      </c>
      <c r="H12" s="80" t="s">
        <v>12</v>
      </c>
      <c r="I12" s="80" t="s">
        <v>12</v>
      </c>
      <c r="J12" s="80" t="s">
        <v>11</v>
      </c>
      <c r="K12" s="80" t="s">
        <v>11</v>
      </c>
      <c r="L12" s="80" t="s">
        <v>11</v>
      </c>
      <c r="M12" s="80" t="s">
        <v>11</v>
      </c>
      <c r="N12" s="80" t="s">
        <v>11</v>
      </c>
      <c r="O12" s="80" t="s">
        <v>11</v>
      </c>
      <c r="P12" s="80" t="s">
        <v>11</v>
      </c>
      <c r="Q12" s="80" t="s">
        <v>11</v>
      </c>
      <c r="R12" s="80" t="s">
        <v>11</v>
      </c>
      <c r="S12" s="80" t="s">
        <v>11</v>
      </c>
      <c r="T12" s="80" t="s">
        <v>11</v>
      </c>
      <c r="U12" s="80" t="s">
        <v>11</v>
      </c>
      <c r="V12" s="80" t="s">
        <v>11</v>
      </c>
      <c r="W12" s="80" t="s">
        <v>11</v>
      </c>
      <c r="X12" s="80" t="s">
        <v>11</v>
      </c>
      <c r="Y12" s="80" t="s">
        <v>11</v>
      </c>
      <c r="Z12" s="80" t="s">
        <v>12</v>
      </c>
      <c r="AA12" s="80" t="s">
        <v>12</v>
      </c>
      <c r="AB12" s="80" t="s">
        <v>11</v>
      </c>
      <c r="AC12" s="80" t="s">
        <v>11</v>
      </c>
      <c r="AD12" s="80" t="s">
        <v>12</v>
      </c>
      <c r="AE12" s="80" t="s">
        <v>12</v>
      </c>
      <c r="AF12" s="135"/>
      <c r="AG12" s="111"/>
      <c r="AH12" s="112"/>
      <c r="AI12" s="21">
        <f t="shared" si="0"/>
        <v>0.7857142857142857</v>
      </c>
    </row>
    <row r="13" spans="1:44" ht="15.75" customHeight="1" x14ac:dyDescent="0.25">
      <c r="A13" s="177" t="s">
        <v>17</v>
      </c>
      <c r="B13" s="178"/>
      <c r="C13" s="179"/>
      <c r="D13" s="80" t="s">
        <v>11</v>
      </c>
      <c r="E13" s="80" t="s">
        <v>11</v>
      </c>
      <c r="F13" s="80" t="s">
        <v>11</v>
      </c>
      <c r="G13" s="80" t="s">
        <v>11</v>
      </c>
      <c r="H13" s="80" t="s">
        <v>11</v>
      </c>
      <c r="I13" s="80" t="s">
        <v>11</v>
      </c>
      <c r="J13" s="80" t="s">
        <v>11</v>
      </c>
      <c r="K13" s="80" t="s">
        <v>11</v>
      </c>
      <c r="L13" s="80" t="s">
        <v>11</v>
      </c>
      <c r="M13" s="80" t="s">
        <v>11</v>
      </c>
      <c r="N13" s="80" t="s">
        <v>11</v>
      </c>
      <c r="O13" s="80" t="s">
        <v>11</v>
      </c>
      <c r="P13" s="80" t="s">
        <v>12</v>
      </c>
      <c r="Q13" s="80" t="s">
        <v>11</v>
      </c>
      <c r="R13" s="80" t="s">
        <v>11</v>
      </c>
      <c r="S13" s="80" t="s">
        <v>11</v>
      </c>
      <c r="T13" s="80" t="s">
        <v>11</v>
      </c>
      <c r="U13" s="80" t="s">
        <v>11</v>
      </c>
      <c r="V13" s="80" t="s">
        <v>11</v>
      </c>
      <c r="W13" s="80" t="s">
        <v>11</v>
      </c>
      <c r="X13" s="80" t="s">
        <v>11</v>
      </c>
      <c r="Y13" s="80" t="s">
        <v>11</v>
      </c>
      <c r="Z13" s="80" t="s">
        <v>12</v>
      </c>
      <c r="AA13" s="80" t="s">
        <v>12</v>
      </c>
      <c r="AB13" s="80" t="s">
        <v>11</v>
      </c>
      <c r="AC13" s="80" t="s">
        <v>11</v>
      </c>
      <c r="AD13" s="80" t="s">
        <v>12</v>
      </c>
      <c r="AE13" s="80" t="s">
        <v>12</v>
      </c>
      <c r="AF13" s="135"/>
      <c r="AG13" s="111"/>
      <c r="AH13" s="112"/>
      <c r="AI13" s="21">
        <f t="shared" si="0"/>
        <v>0.8214285714285714</v>
      </c>
    </row>
    <row r="14" spans="1:44" ht="15.75" customHeight="1" x14ac:dyDescent="0.25">
      <c r="A14" s="180" t="s">
        <v>18</v>
      </c>
      <c r="B14" s="181"/>
      <c r="C14" s="182"/>
      <c r="D14" s="73" t="s">
        <v>11</v>
      </c>
      <c r="E14" s="73" t="s">
        <v>11</v>
      </c>
      <c r="F14" s="73" t="s">
        <v>11</v>
      </c>
      <c r="G14" s="73" t="s">
        <v>11</v>
      </c>
      <c r="H14" s="73" t="s">
        <v>12</v>
      </c>
      <c r="I14" s="73" t="s">
        <v>12</v>
      </c>
      <c r="J14" s="73" t="s">
        <v>11</v>
      </c>
      <c r="K14" s="73" t="s">
        <v>11</v>
      </c>
      <c r="L14" s="73" t="s">
        <v>11</v>
      </c>
      <c r="M14" s="73" t="s">
        <v>11</v>
      </c>
      <c r="N14" s="73" t="s">
        <v>11</v>
      </c>
      <c r="O14" s="73" t="s">
        <v>11</v>
      </c>
      <c r="P14" s="73" t="s">
        <v>12</v>
      </c>
      <c r="Q14" s="73" t="s">
        <v>11</v>
      </c>
      <c r="R14" s="73" t="s">
        <v>11</v>
      </c>
      <c r="S14" s="73" t="s">
        <v>11</v>
      </c>
      <c r="T14" s="73" t="s">
        <v>11</v>
      </c>
      <c r="U14" s="73" t="s">
        <v>11</v>
      </c>
      <c r="V14" s="73" t="s">
        <v>11</v>
      </c>
      <c r="W14" s="73" t="s">
        <v>11</v>
      </c>
      <c r="X14" s="73" t="s">
        <v>11</v>
      </c>
      <c r="Y14" s="73" t="s">
        <v>11</v>
      </c>
      <c r="Z14" s="73" t="s">
        <v>12</v>
      </c>
      <c r="AA14" s="73" t="s">
        <v>12</v>
      </c>
      <c r="AB14" s="73" t="s">
        <v>11</v>
      </c>
      <c r="AC14" s="73" t="s">
        <v>11</v>
      </c>
      <c r="AD14" s="73" t="s">
        <v>12</v>
      </c>
      <c r="AE14" s="73" t="s">
        <v>12</v>
      </c>
      <c r="AF14" s="133"/>
      <c r="AG14" s="108"/>
      <c r="AH14" s="113"/>
      <c r="AI14" s="17">
        <f t="shared" si="0"/>
        <v>0.75</v>
      </c>
    </row>
    <row r="15" spans="1:44" ht="15.75" customHeight="1" x14ac:dyDescent="0.25">
      <c r="A15" s="174" t="s">
        <v>19</v>
      </c>
      <c r="B15" s="175"/>
      <c r="C15" s="176"/>
      <c r="D15" s="124" t="s">
        <v>11</v>
      </c>
      <c r="E15" s="124" t="s">
        <v>11</v>
      </c>
      <c r="F15" s="124" t="s">
        <v>11</v>
      </c>
      <c r="G15" s="124" t="s">
        <v>11</v>
      </c>
      <c r="H15" s="124" t="s">
        <v>11</v>
      </c>
      <c r="I15" s="124" t="s">
        <v>11</v>
      </c>
      <c r="J15" s="124" t="s">
        <v>11</v>
      </c>
      <c r="K15" s="124" t="s">
        <v>11</v>
      </c>
      <c r="L15" s="124" t="s">
        <v>11</v>
      </c>
      <c r="M15" s="124" t="s">
        <v>11</v>
      </c>
      <c r="N15" s="124" t="s">
        <v>11</v>
      </c>
      <c r="O15" s="124" t="s">
        <v>11</v>
      </c>
      <c r="P15" s="124" t="s">
        <v>11</v>
      </c>
      <c r="Q15" s="124" t="s">
        <v>11</v>
      </c>
      <c r="R15" s="124" t="s">
        <v>11</v>
      </c>
      <c r="S15" s="124" t="s">
        <v>11</v>
      </c>
      <c r="T15" s="124" t="s">
        <v>11</v>
      </c>
      <c r="U15" s="124" t="s">
        <v>11</v>
      </c>
      <c r="V15" s="124" t="s">
        <v>11</v>
      </c>
      <c r="W15" s="124" t="s">
        <v>11</v>
      </c>
      <c r="X15" s="124" t="s">
        <v>11</v>
      </c>
      <c r="Y15" s="124" t="s">
        <v>11</v>
      </c>
      <c r="Z15" s="124" t="s">
        <v>11</v>
      </c>
      <c r="AA15" s="124" t="s">
        <v>11</v>
      </c>
      <c r="AB15" s="124" t="s">
        <v>11</v>
      </c>
      <c r="AC15" s="124" t="s">
        <v>11</v>
      </c>
      <c r="AD15" s="124" t="s">
        <v>11</v>
      </c>
      <c r="AE15" s="124" t="s">
        <v>11</v>
      </c>
      <c r="AF15" s="136"/>
      <c r="AG15" s="107"/>
      <c r="AH15" s="107"/>
      <c r="AI15" s="13">
        <f t="shared" si="0"/>
        <v>1</v>
      </c>
    </row>
    <row r="16" spans="1:44" ht="15.75" customHeight="1" x14ac:dyDescent="0.25">
      <c r="A16" s="177" t="s">
        <v>20</v>
      </c>
      <c r="B16" s="178"/>
      <c r="C16" s="179"/>
      <c r="D16" s="123" t="s">
        <v>11</v>
      </c>
      <c r="E16" s="123" t="s">
        <v>11</v>
      </c>
      <c r="F16" s="123" t="s">
        <v>11</v>
      </c>
      <c r="G16" s="123" t="s">
        <v>11</v>
      </c>
      <c r="H16" s="123" t="s">
        <v>11</v>
      </c>
      <c r="I16" s="123" t="s">
        <v>11</v>
      </c>
      <c r="J16" s="123" t="s">
        <v>11</v>
      </c>
      <c r="K16" s="123" t="s">
        <v>11</v>
      </c>
      <c r="L16" s="123" t="s">
        <v>11</v>
      </c>
      <c r="M16" s="123" t="s">
        <v>11</v>
      </c>
      <c r="N16" s="123" t="s">
        <v>11</v>
      </c>
      <c r="O16" s="123" t="s">
        <v>11</v>
      </c>
      <c r="P16" s="123" t="s">
        <v>11</v>
      </c>
      <c r="Q16" s="123" t="s">
        <v>11</v>
      </c>
      <c r="R16" s="123" t="s">
        <v>11</v>
      </c>
      <c r="S16" s="123" t="s">
        <v>11</v>
      </c>
      <c r="T16" s="123" t="s">
        <v>11</v>
      </c>
      <c r="U16" s="123" t="s">
        <v>11</v>
      </c>
      <c r="V16" s="123" t="s">
        <v>11</v>
      </c>
      <c r="W16" s="123" t="s">
        <v>11</v>
      </c>
      <c r="X16" s="123" t="s">
        <v>11</v>
      </c>
      <c r="Y16" s="123" t="s">
        <v>11</v>
      </c>
      <c r="Z16" s="123" t="s">
        <v>11</v>
      </c>
      <c r="AA16" s="123" t="s">
        <v>11</v>
      </c>
      <c r="AB16" s="123" t="s">
        <v>11</v>
      </c>
      <c r="AC16" s="123" t="s">
        <v>11</v>
      </c>
      <c r="AD16" s="123" t="s">
        <v>11</v>
      </c>
      <c r="AE16" s="123" t="s">
        <v>11</v>
      </c>
      <c r="AF16" s="137"/>
      <c r="AG16" s="111"/>
      <c r="AH16" s="111"/>
      <c r="AI16" s="21">
        <f t="shared" si="0"/>
        <v>1</v>
      </c>
    </row>
    <row r="17" spans="1:35" ht="15.75" customHeight="1" x14ac:dyDescent="0.25">
      <c r="A17" s="180" t="s">
        <v>92</v>
      </c>
      <c r="B17" s="181"/>
      <c r="C17" s="182"/>
      <c r="D17" s="123" t="s">
        <v>11</v>
      </c>
      <c r="E17" s="123" t="s">
        <v>11</v>
      </c>
      <c r="F17" s="123" t="s">
        <v>11</v>
      </c>
      <c r="G17" s="123" t="s">
        <v>11</v>
      </c>
      <c r="H17" s="123" t="s">
        <v>11</v>
      </c>
      <c r="I17" s="123" t="s">
        <v>11</v>
      </c>
      <c r="J17" s="123" t="s">
        <v>11</v>
      </c>
      <c r="K17" s="123" t="s">
        <v>11</v>
      </c>
      <c r="L17" s="123" t="s">
        <v>11</v>
      </c>
      <c r="M17" s="123" t="s">
        <v>11</v>
      </c>
      <c r="N17" s="123" t="s">
        <v>11</v>
      </c>
      <c r="O17" s="123" t="s">
        <v>11</v>
      </c>
      <c r="P17" s="123" t="s">
        <v>11</v>
      </c>
      <c r="Q17" s="123" t="s">
        <v>11</v>
      </c>
      <c r="R17" s="123" t="s">
        <v>11</v>
      </c>
      <c r="S17" s="123" t="s">
        <v>11</v>
      </c>
      <c r="T17" s="123" t="s">
        <v>11</v>
      </c>
      <c r="U17" s="123" t="s">
        <v>11</v>
      </c>
      <c r="V17" s="123" t="s">
        <v>11</v>
      </c>
      <c r="W17" s="123" t="s">
        <v>11</v>
      </c>
      <c r="X17" s="123" t="s">
        <v>11</v>
      </c>
      <c r="Y17" s="123" t="s">
        <v>11</v>
      </c>
      <c r="Z17" s="123" t="s">
        <v>11</v>
      </c>
      <c r="AA17" s="123" t="s">
        <v>11</v>
      </c>
      <c r="AB17" s="123" t="s">
        <v>11</v>
      </c>
      <c r="AC17" s="123" t="s">
        <v>11</v>
      </c>
      <c r="AD17" s="123" t="s">
        <v>11</v>
      </c>
      <c r="AE17" s="123" t="s">
        <v>11</v>
      </c>
      <c r="AF17" s="137"/>
      <c r="AG17" s="113"/>
      <c r="AH17" s="113"/>
      <c r="AI17" s="17">
        <f t="shared" si="0"/>
        <v>1</v>
      </c>
    </row>
    <row r="18" spans="1:35" ht="15.75" customHeight="1" x14ac:dyDescent="0.25">
      <c r="A18" s="174" t="s">
        <v>21</v>
      </c>
      <c r="B18" s="175"/>
      <c r="C18" s="176"/>
      <c r="D18" s="20" t="s">
        <v>11</v>
      </c>
      <c r="E18" s="20" t="s">
        <v>11</v>
      </c>
      <c r="F18" s="20" t="s">
        <v>11</v>
      </c>
      <c r="G18" s="20" t="s">
        <v>11</v>
      </c>
      <c r="H18" s="79" t="s">
        <v>11</v>
      </c>
      <c r="I18" s="79" t="s">
        <v>11</v>
      </c>
      <c r="J18" s="79" t="s">
        <v>11</v>
      </c>
      <c r="K18" s="79" t="s">
        <v>11</v>
      </c>
      <c r="L18" s="79" t="s">
        <v>11</v>
      </c>
      <c r="M18" s="79" t="s">
        <v>11</v>
      </c>
      <c r="N18" s="79" t="s">
        <v>11</v>
      </c>
      <c r="O18" s="79" t="s">
        <v>11</v>
      </c>
      <c r="P18" s="79" t="s">
        <v>11</v>
      </c>
      <c r="Q18" s="79" t="s">
        <v>11</v>
      </c>
      <c r="R18" s="79" t="s">
        <v>11</v>
      </c>
      <c r="S18" s="79" t="s">
        <v>11</v>
      </c>
      <c r="T18" s="79" t="s">
        <v>11</v>
      </c>
      <c r="U18" s="79" t="s">
        <v>11</v>
      </c>
      <c r="V18" s="79" t="s">
        <v>11</v>
      </c>
      <c r="W18" s="79" t="s">
        <v>11</v>
      </c>
      <c r="X18" s="79" t="s">
        <v>11</v>
      </c>
      <c r="Y18" s="79" t="s">
        <v>11</v>
      </c>
      <c r="Z18" s="79" t="s">
        <v>11</v>
      </c>
      <c r="AA18" s="79" t="s">
        <v>11</v>
      </c>
      <c r="AB18" s="79" t="s">
        <v>11</v>
      </c>
      <c r="AC18" s="79" t="s">
        <v>11</v>
      </c>
      <c r="AD18" s="124" t="s">
        <v>11</v>
      </c>
      <c r="AE18" s="124" t="s">
        <v>11</v>
      </c>
      <c r="AF18" s="136"/>
      <c r="AG18" s="107"/>
      <c r="AH18" s="107"/>
      <c r="AI18" s="13">
        <f t="shared" si="0"/>
        <v>1</v>
      </c>
    </row>
    <row r="19" spans="1:35" ht="15.75" customHeight="1" x14ac:dyDescent="0.25">
      <c r="A19" s="177" t="s">
        <v>23</v>
      </c>
      <c r="B19" s="178"/>
      <c r="C19" s="179"/>
      <c r="D19" s="16" t="s">
        <v>11</v>
      </c>
      <c r="E19" s="16" t="s">
        <v>11</v>
      </c>
      <c r="F19" s="16" t="s">
        <v>11</v>
      </c>
      <c r="G19" s="16" t="s">
        <v>11</v>
      </c>
      <c r="H19" s="16" t="s">
        <v>11</v>
      </c>
      <c r="I19" s="16" t="s">
        <v>11</v>
      </c>
      <c r="J19" s="16" t="s">
        <v>11</v>
      </c>
      <c r="K19" s="16" t="s">
        <v>11</v>
      </c>
      <c r="L19" s="16" t="s">
        <v>11</v>
      </c>
      <c r="M19" s="16" t="s">
        <v>11</v>
      </c>
      <c r="N19" s="16" t="s">
        <v>11</v>
      </c>
      <c r="O19" s="16" t="s">
        <v>11</v>
      </c>
      <c r="P19" s="16" t="s">
        <v>11</v>
      </c>
      <c r="Q19" s="16" t="s">
        <v>11</v>
      </c>
      <c r="R19" s="16" t="s">
        <v>11</v>
      </c>
      <c r="S19" s="16" t="s">
        <v>11</v>
      </c>
      <c r="T19" s="16" t="s">
        <v>11</v>
      </c>
      <c r="U19" s="16" t="s">
        <v>11</v>
      </c>
      <c r="V19" s="16" t="s">
        <v>11</v>
      </c>
      <c r="W19" s="16" t="s">
        <v>11</v>
      </c>
      <c r="X19" s="16" t="s">
        <v>11</v>
      </c>
      <c r="Y19" s="16" t="s">
        <v>11</v>
      </c>
      <c r="Z19" s="16" t="s">
        <v>11</v>
      </c>
      <c r="AA19" s="16" t="s">
        <v>11</v>
      </c>
      <c r="AB19" s="16" t="s">
        <v>11</v>
      </c>
      <c r="AC19" s="16" t="s">
        <v>11</v>
      </c>
      <c r="AD19" s="123" t="s">
        <v>11</v>
      </c>
      <c r="AE19" s="123" t="s">
        <v>11</v>
      </c>
      <c r="AF19" s="137"/>
      <c r="AG19" s="112"/>
      <c r="AH19" s="112"/>
      <c r="AI19" s="21">
        <f t="shared" si="0"/>
        <v>1</v>
      </c>
    </row>
    <row r="20" spans="1:35" ht="15.75" customHeight="1" x14ac:dyDescent="0.25">
      <c r="A20" s="177" t="s">
        <v>24</v>
      </c>
      <c r="B20" s="178"/>
      <c r="C20" s="179"/>
      <c r="D20" s="80" t="s">
        <v>11</v>
      </c>
      <c r="E20" s="80" t="s">
        <v>11</v>
      </c>
      <c r="F20" s="80" t="s">
        <v>11</v>
      </c>
      <c r="G20" s="80" t="s">
        <v>11</v>
      </c>
      <c r="H20" s="16" t="s">
        <v>11</v>
      </c>
      <c r="I20" s="16" t="s">
        <v>11</v>
      </c>
      <c r="J20" s="16" t="s">
        <v>11</v>
      </c>
      <c r="K20" s="16" t="s">
        <v>11</v>
      </c>
      <c r="L20" s="16" t="s">
        <v>11</v>
      </c>
      <c r="M20" s="16" t="s">
        <v>11</v>
      </c>
      <c r="N20" s="16" t="s">
        <v>11</v>
      </c>
      <c r="O20" s="16" t="s">
        <v>11</v>
      </c>
      <c r="P20" s="16" t="s">
        <v>11</v>
      </c>
      <c r="Q20" s="16" t="s">
        <v>11</v>
      </c>
      <c r="R20" s="16" t="s">
        <v>11</v>
      </c>
      <c r="S20" s="16" t="s">
        <v>11</v>
      </c>
      <c r="T20" s="16" t="s">
        <v>11</v>
      </c>
      <c r="U20" s="16" t="s">
        <v>11</v>
      </c>
      <c r="V20" s="16" t="s">
        <v>11</v>
      </c>
      <c r="W20" s="16" t="s">
        <v>11</v>
      </c>
      <c r="X20" s="16" t="s">
        <v>11</v>
      </c>
      <c r="Y20" s="16" t="s">
        <v>11</v>
      </c>
      <c r="Z20" s="16" t="s">
        <v>11</v>
      </c>
      <c r="AA20" s="16" t="s">
        <v>11</v>
      </c>
      <c r="AB20" s="16" t="s">
        <v>11</v>
      </c>
      <c r="AC20" s="16" t="s">
        <v>11</v>
      </c>
      <c r="AD20" s="123" t="s">
        <v>11</v>
      </c>
      <c r="AE20" s="123" t="s">
        <v>11</v>
      </c>
      <c r="AF20" s="137"/>
      <c r="AG20" s="112"/>
      <c r="AH20" s="112"/>
      <c r="AI20" s="21">
        <f t="shared" si="0"/>
        <v>1</v>
      </c>
    </row>
    <row r="21" spans="1:35" ht="15.75" customHeight="1" x14ac:dyDescent="0.25">
      <c r="A21" s="180" t="s">
        <v>25</v>
      </c>
      <c r="B21" s="181"/>
      <c r="C21" s="182"/>
      <c r="D21" s="73" t="s">
        <v>11</v>
      </c>
      <c r="E21" s="73" t="s">
        <v>11</v>
      </c>
      <c r="F21" s="73" t="s">
        <v>11</v>
      </c>
      <c r="G21" s="73" t="s">
        <v>11</v>
      </c>
      <c r="H21" s="73" t="s">
        <v>11</v>
      </c>
      <c r="I21" s="73" t="s">
        <v>11</v>
      </c>
      <c r="J21" s="73" t="s">
        <v>11</v>
      </c>
      <c r="K21" s="73" t="s">
        <v>11</v>
      </c>
      <c r="L21" s="73" t="s">
        <v>11</v>
      </c>
      <c r="M21" s="73" t="s">
        <v>11</v>
      </c>
      <c r="N21" s="73" t="s">
        <v>11</v>
      </c>
      <c r="O21" s="73" t="s">
        <v>11</v>
      </c>
      <c r="P21" s="73" t="s">
        <v>11</v>
      </c>
      <c r="Q21" s="73" t="s">
        <v>11</v>
      </c>
      <c r="R21" s="73" t="s">
        <v>11</v>
      </c>
      <c r="S21" s="73" t="s">
        <v>11</v>
      </c>
      <c r="T21" s="73" t="s">
        <v>11</v>
      </c>
      <c r="U21" s="73" t="s">
        <v>11</v>
      </c>
      <c r="V21" s="73" t="s">
        <v>11</v>
      </c>
      <c r="W21" s="73" t="s">
        <v>11</v>
      </c>
      <c r="X21" s="73" t="s">
        <v>11</v>
      </c>
      <c r="Y21" s="73" t="s">
        <v>11</v>
      </c>
      <c r="Z21" s="73" t="s">
        <v>11</v>
      </c>
      <c r="AA21" s="73" t="s">
        <v>11</v>
      </c>
      <c r="AB21" s="73" t="s">
        <v>11</v>
      </c>
      <c r="AC21" s="73" t="s">
        <v>11</v>
      </c>
      <c r="AD21" s="125" t="s">
        <v>11</v>
      </c>
      <c r="AE21" s="125" t="s">
        <v>11</v>
      </c>
      <c r="AF21" s="138"/>
      <c r="AG21" s="108"/>
      <c r="AH21" s="108"/>
      <c r="AI21" s="17">
        <f t="shared" si="0"/>
        <v>1</v>
      </c>
    </row>
    <row r="22" spans="1:35" ht="15.75" customHeight="1" x14ac:dyDescent="0.25">
      <c r="A22" s="162" t="s">
        <v>26</v>
      </c>
      <c r="B22" s="163"/>
      <c r="C22" s="164"/>
      <c r="D22" s="81" t="s">
        <v>11</v>
      </c>
      <c r="E22" s="81" t="s">
        <v>12</v>
      </c>
      <c r="F22" s="81" t="s">
        <v>11</v>
      </c>
      <c r="G22" s="81" t="s">
        <v>11</v>
      </c>
      <c r="H22" s="81" t="s">
        <v>11</v>
      </c>
      <c r="I22" s="81" t="s">
        <v>11</v>
      </c>
      <c r="J22" s="81" t="s">
        <v>12</v>
      </c>
      <c r="K22" s="81" t="s">
        <v>12</v>
      </c>
      <c r="L22" s="81" t="s">
        <v>12</v>
      </c>
      <c r="M22" s="81" t="s">
        <v>12</v>
      </c>
      <c r="N22" s="81" t="s">
        <v>12</v>
      </c>
      <c r="O22" s="81" t="s">
        <v>11</v>
      </c>
      <c r="P22" s="81" t="s">
        <v>131</v>
      </c>
      <c r="Q22" s="81" t="s">
        <v>11</v>
      </c>
      <c r="R22" s="81" t="s">
        <v>11</v>
      </c>
      <c r="S22" s="81" t="s">
        <v>11</v>
      </c>
      <c r="T22" s="81" t="s">
        <v>11</v>
      </c>
      <c r="U22" s="81" t="s">
        <v>11</v>
      </c>
      <c r="V22" s="81" t="s">
        <v>12</v>
      </c>
      <c r="W22" s="81" t="s">
        <v>11</v>
      </c>
      <c r="X22" s="81" t="s">
        <v>11</v>
      </c>
      <c r="Y22" s="81" t="s">
        <v>11</v>
      </c>
      <c r="Z22" s="81" t="s">
        <v>11</v>
      </c>
      <c r="AA22" s="81" t="s">
        <v>11</v>
      </c>
      <c r="AB22" s="81" t="s">
        <v>11</v>
      </c>
      <c r="AC22" s="81" t="s">
        <v>11</v>
      </c>
      <c r="AD22" s="81" t="s">
        <v>11</v>
      </c>
      <c r="AE22" s="81" t="s">
        <v>11</v>
      </c>
      <c r="AF22" s="139"/>
      <c r="AG22" s="114"/>
      <c r="AH22" s="114"/>
      <c r="AI22" s="19">
        <f t="shared" si="0"/>
        <v>0.75</v>
      </c>
    </row>
    <row r="23" spans="1:35" ht="15.75" customHeight="1" x14ac:dyDescent="0.25">
      <c r="A23" s="174" t="s">
        <v>27</v>
      </c>
      <c r="B23" s="175"/>
      <c r="C23" s="176"/>
      <c r="D23" s="22" t="s">
        <v>11</v>
      </c>
      <c r="E23" s="22" t="s">
        <v>11</v>
      </c>
      <c r="F23" s="22" t="s">
        <v>11</v>
      </c>
      <c r="G23" s="22" t="s">
        <v>11</v>
      </c>
      <c r="H23" s="20" t="s">
        <v>11</v>
      </c>
      <c r="I23" s="20" t="s">
        <v>11</v>
      </c>
      <c r="J23" s="20" t="s">
        <v>11</v>
      </c>
      <c r="K23" s="20" t="s">
        <v>11</v>
      </c>
      <c r="L23" s="20" t="s">
        <v>11</v>
      </c>
      <c r="M23" s="20" t="s">
        <v>11</v>
      </c>
      <c r="N23" s="20" t="s">
        <v>11</v>
      </c>
      <c r="O23" s="20" t="s">
        <v>11</v>
      </c>
      <c r="P23" s="20" t="s">
        <v>11</v>
      </c>
      <c r="Q23" s="20" t="s">
        <v>11</v>
      </c>
      <c r="R23" s="20" t="s">
        <v>11</v>
      </c>
      <c r="S23" s="20" t="s">
        <v>11</v>
      </c>
      <c r="T23" s="20" t="s">
        <v>11</v>
      </c>
      <c r="U23" s="20" t="s">
        <v>11</v>
      </c>
      <c r="V23" s="20" t="s">
        <v>11</v>
      </c>
      <c r="W23" s="20" t="s">
        <v>11</v>
      </c>
      <c r="X23" s="20" t="s">
        <v>11</v>
      </c>
      <c r="Y23" s="20" t="s">
        <v>11</v>
      </c>
      <c r="Z23" s="20" t="s">
        <v>11</v>
      </c>
      <c r="AA23" s="20" t="s">
        <v>11</v>
      </c>
      <c r="AB23" s="20" t="s">
        <v>11</v>
      </c>
      <c r="AC23" s="20" t="s">
        <v>11</v>
      </c>
      <c r="AD23" s="124" t="s">
        <v>11</v>
      </c>
      <c r="AE23" s="124" t="s">
        <v>11</v>
      </c>
      <c r="AF23" s="136"/>
      <c r="AG23" s="110"/>
      <c r="AH23" s="110"/>
      <c r="AI23" s="13">
        <f t="shared" si="0"/>
        <v>1</v>
      </c>
    </row>
    <row r="24" spans="1:35" ht="15.75" customHeight="1" x14ac:dyDescent="0.25">
      <c r="A24" s="180" t="s">
        <v>28</v>
      </c>
      <c r="B24" s="181"/>
      <c r="C24" s="182"/>
      <c r="D24" s="14" t="s">
        <v>11</v>
      </c>
      <c r="E24" s="14" t="s">
        <v>11</v>
      </c>
      <c r="F24" s="14" t="s">
        <v>11</v>
      </c>
      <c r="G24" s="14" t="s">
        <v>12</v>
      </c>
      <c r="H24" s="15" t="s">
        <v>11</v>
      </c>
      <c r="I24" s="15" t="s">
        <v>11</v>
      </c>
      <c r="J24" s="15" t="s">
        <v>11</v>
      </c>
      <c r="K24" s="15" t="s">
        <v>11</v>
      </c>
      <c r="L24" s="15" t="s">
        <v>11</v>
      </c>
      <c r="M24" s="15" t="s">
        <v>11</v>
      </c>
      <c r="N24" s="15" t="s">
        <v>11</v>
      </c>
      <c r="O24" s="15" t="s">
        <v>11</v>
      </c>
      <c r="P24" s="15" t="s">
        <v>11</v>
      </c>
      <c r="Q24" s="15" t="s">
        <v>11</v>
      </c>
      <c r="R24" s="15" t="s">
        <v>11</v>
      </c>
      <c r="S24" s="15" t="s">
        <v>11</v>
      </c>
      <c r="T24" s="15" t="s">
        <v>12</v>
      </c>
      <c r="U24" s="15" t="s">
        <v>12</v>
      </c>
      <c r="V24" s="15" t="s">
        <v>11</v>
      </c>
      <c r="W24" s="15" t="s">
        <v>11</v>
      </c>
      <c r="X24" s="15" t="s">
        <v>12</v>
      </c>
      <c r="Y24" s="15" t="s">
        <v>12</v>
      </c>
      <c r="Z24" s="15" t="s">
        <v>11</v>
      </c>
      <c r="AA24" s="15" t="s">
        <v>11</v>
      </c>
      <c r="AB24" s="15" t="s">
        <v>12</v>
      </c>
      <c r="AC24" s="15" t="s">
        <v>11</v>
      </c>
      <c r="AD24" s="125" t="s">
        <v>11</v>
      </c>
      <c r="AE24" s="125" t="s">
        <v>12</v>
      </c>
      <c r="AF24" s="138"/>
      <c r="AG24" s="113"/>
      <c r="AH24" s="113"/>
      <c r="AI24" s="17">
        <f t="shared" si="0"/>
        <v>0.75</v>
      </c>
    </row>
    <row r="25" spans="1:35" ht="15.75" customHeight="1" x14ac:dyDescent="0.25">
      <c r="A25" s="162" t="s">
        <v>29</v>
      </c>
      <c r="B25" s="163"/>
      <c r="C25" s="164"/>
      <c r="D25" s="81" t="s">
        <v>11</v>
      </c>
      <c r="E25" s="81" t="s">
        <v>11</v>
      </c>
      <c r="F25" s="81" t="s">
        <v>11</v>
      </c>
      <c r="G25" s="81" t="s">
        <v>11</v>
      </c>
      <c r="H25" s="25" t="s">
        <v>11</v>
      </c>
      <c r="I25" s="25" t="s">
        <v>11</v>
      </c>
      <c r="J25" s="25" t="s">
        <v>11</v>
      </c>
      <c r="K25" s="25" t="s">
        <v>11</v>
      </c>
      <c r="L25" s="25" t="s">
        <v>11</v>
      </c>
      <c r="M25" s="25" t="s">
        <v>11</v>
      </c>
      <c r="N25" s="25" t="s">
        <v>11</v>
      </c>
      <c r="O25" s="25" t="s">
        <v>11</v>
      </c>
      <c r="P25" s="25" t="s">
        <v>11</v>
      </c>
      <c r="Q25" s="25" t="s">
        <v>11</v>
      </c>
      <c r="R25" s="25" t="s">
        <v>11</v>
      </c>
      <c r="S25" s="25" t="s">
        <v>11</v>
      </c>
      <c r="T25" s="25" t="s">
        <v>11</v>
      </c>
      <c r="U25" s="25" t="s">
        <v>11</v>
      </c>
      <c r="V25" s="25" t="s">
        <v>11</v>
      </c>
      <c r="W25" s="25" t="s">
        <v>11</v>
      </c>
      <c r="X25" s="25" t="s">
        <v>11</v>
      </c>
      <c r="Y25" s="25" t="s">
        <v>11</v>
      </c>
      <c r="Z25" s="25" t="s">
        <v>11</v>
      </c>
      <c r="AA25" s="25" t="s">
        <v>11</v>
      </c>
      <c r="AB25" s="25" t="s">
        <v>11</v>
      </c>
      <c r="AC25" s="25" t="s">
        <v>11</v>
      </c>
      <c r="AD25" s="25" t="s">
        <v>11</v>
      </c>
      <c r="AE25" s="25" t="s">
        <v>11</v>
      </c>
      <c r="AF25" s="140"/>
      <c r="AG25" s="115"/>
      <c r="AH25" s="115"/>
      <c r="AI25" s="19">
        <f t="shared" si="0"/>
        <v>1</v>
      </c>
    </row>
    <row r="26" spans="1:35" ht="15.75" customHeight="1" x14ac:dyDescent="0.25">
      <c r="A26" s="162" t="s">
        <v>30</v>
      </c>
      <c r="B26" s="163"/>
      <c r="C26" s="164"/>
      <c r="D26" s="81" t="s">
        <v>11</v>
      </c>
      <c r="E26" s="81" t="s">
        <v>11</v>
      </c>
      <c r="F26" s="81" t="s">
        <v>11</v>
      </c>
      <c r="G26" s="81" t="s">
        <v>11</v>
      </c>
      <c r="H26" s="25" t="s">
        <v>11</v>
      </c>
      <c r="I26" s="25" t="s">
        <v>11</v>
      </c>
      <c r="J26" s="25" t="s">
        <v>11</v>
      </c>
      <c r="K26" s="25" t="s">
        <v>11</v>
      </c>
      <c r="L26" s="25" t="s">
        <v>11</v>
      </c>
      <c r="M26" s="25" t="s">
        <v>11</v>
      </c>
      <c r="N26" s="25" t="s">
        <v>11</v>
      </c>
      <c r="O26" s="25" t="s">
        <v>11</v>
      </c>
      <c r="P26" s="25" t="s">
        <v>11</v>
      </c>
      <c r="Q26" s="25" t="s">
        <v>11</v>
      </c>
      <c r="R26" s="25" t="s">
        <v>11</v>
      </c>
      <c r="S26" s="25" t="s">
        <v>11</v>
      </c>
      <c r="T26" s="25" t="s">
        <v>11</v>
      </c>
      <c r="U26" s="25" t="s">
        <v>11</v>
      </c>
      <c r="V26" s="25" t="s">
        <v>11</v>
      </c>
      <c r="W26" s="25" t="s">
        <v>11</v>
      </c>
      <c r="X26" s="25" t="s">
        <v>11</v>
      </c>
      <c r="Y26" s="25" t="s">
        <v>11</v>
      </c>
      <c r="Z26" s="25" t="s">
        <v>11</v>
      </c>
      <c r="AA26" s="25" t="s">
        <v>11</v>
      </c>
      <c r="AB26" s="25" t="s">
        <v>11</v>
      </c>
      <c r="AC26" s="25" t="s">
        <v>11</v>
      </c>
      <c r="AD26" s="25" t="s">
        <v>11</v>
      </c>
      <c r="AE26" s="25" t="s">
        <v>11</v>
      </c>
      <c r="AF26" s="140"/>
      <c r="AG26" s="115"/>
      <c r="AH26" s="115"/>
      <c r="AI26" s="19">
        <f t="shared" si="0"/>
        <v>1</v>
      </c>
    </row>
    <row r="27" spans="1:35" ht="15.75" customHeight="1" x14ac:dyDescent="0.25">
      <c r="A27" s="156" t="s">
        <v>31</v>
      </c>
      <c r="B27" s="157"/>
      <c r="C27" s="158"/>
      <c r="D27" s="72" t="s">
        <v>8</v>
      </c>
      <c r="E27" s="72" t="s">
        <v>8</v>
      </c>
      <c r="F27" s="72" t="s">
        <v>8</v>
      </c>
      <c r="G27" s="72" t="s">
        <v>8</v>
      </c>
      <c r="H27" s="72" t="s">
        <v>9</v>
      </c>
      <c r="I27" s="72" t="s">
        <v>22</v>
      </c>
      <c r="J27" s="72" t="s">
        <v>9</v>
      </c>
      <c r="K27" s="72" t="s">
        <v>9</v>
      </c>
      <c r="L27" s="72" t="s">
        <v>9</v>
      </c>
      <c r="M27" s="72" t="s">
        <v>9</v>
      </c>
      <c r="N27" s="72" t="s">
        <v>8</v>
      </c>
      <c r="O27" s="72" t="s">
        <v>8</v>
      </c>
      <c r="P27" s="72" t="s">
        <v>8</v>
      </c>
      <c r="Q27" s="72" t="s">
        <v>8</v>
      </c>
      <c r="R27" s="72" t="s">
        <v>8</v>
      </c>
      <c r="S27" s="72" t="s">
        <v>8</v>
      </c>
      <c r="T27" s="72" t="s">
        <v>8</v>
      </c>
      <c r="U27" s="72" t="s">
        <v>9</v>
      </c>
      <c r="V27" s="72" t="s">
        <v>8</v>
      </c>
      <c r="W27" s="72" t="s">
        <v>9</v>
      </c>
      <c r="X27" s="72" t="s">
        <v>9</v>
      </c>
      <c r="Y27" s="72" t="s">
        <v>9</v>
      </c>
      <c r="Z27" s="72" t="s">
        <v>8</v>
      </c>
      <c r="AA27" s="72" t="s">
        <v>8</v>
      </c>
      <c r="AB27" s="72" t="s">
        <v>9</v>
      </c>
      <c r="AC27" s="72" t="s">
        <v>9</v>
      </c>
      <c r="AD27" s="72" t="s">
        <v>8</v>
      </c>
      <c r="AE27" s="72" t="s">
        <v>8</v>
      </c>
      <c r="AF27" s="132"/>
      <c r="AG27" s="107"/>
      <c r="AH27" s="107"/>
      <c r="AI27" s="13">
        <f t="shared" si="0"/>
        <v>1</v>
      </c>
    </row>
    <row r="28" spans="1:35" ht="15.75" customHeight="1" x14ac:dyDescent="0.25">
      <c r="A28" s="183" t="s">
        <v>32</v>
      </c>
      <c r="B28" s="184"/>
      <c r="C28" s="185"/>
      <c r="D28" s="28" t="s">
        <v>123</v>
      </c>
      <c r="E28" s="28" t="s">
        <v>123</v>
      </c>
      <c r="F28" s="28" t="s">
        <v>123</v>
      </c>
      <c r="G28" s="28" t="s">
        <v>123</v>
      </c>
      <c r="H28" s="82">
        <v>2</v>
      </c>
      <c r="I28" s="82">
        <v>2</v>
      </c>
      <c r="J28" s="82">
        <v>2</v>
      </c>
      <c r="K28" s="82">
        <v>2</v>
      </c>
      <c r="L28" s="82">
        <v>2</v>
      </c>
      <c r="M28" s="82">
        <v>2.5</v>
      </c>
      <c r="N28" s="82">
        <v>3</v>
      </c>
      <c r="O28" s="82" t="s">
        <v>113</v>
      </c>
      <c r="P28" s="28" t="s">
        <v>113</v>
      </c>
      <c r="Q28" s="28" t="s">
        <v>113</v>
      </c>
      <c r="R28" s="28" t="s">
        <v>113</v>
      </c>
      <c r="S28" s="28" t="s">
        <v>114</v>
      </c>
      <c r="T28" s="28" t="s">
        <v>114</v>
      </c>
      <c r="U28" s="28">
        <v>2</v>
      </c>
      <c r="V28" s="28">
        <v>2</v>
      </c>
      <c r="W28" s="28">
        <v>2</v>
      </c>
      <c r="X28" s="28" t="s">
        <v>114</v>
      </c>
      <c r="Y28" s="28">
        <v>2</v>
      </c>
      <c r="Z28" s="28" t="s">
        <v>115</v>
      </c>
      <c r="AA28" s="28" t="s">
        <v>115</v>
      </c>
      <c r="AB28" s="28" t="s">
        <v>114</v>
      </c>
      <c r="AC28" s="28" t="s">
        <v>114</v>
      </c>
      <c r="AD28" s="28" t="s">
        <v>115</v>
      </c>
      <c r="AE28" s="28" t="s">
        <v>114</v>
      </c>
      <c r="AF28" s="141"/>
      <c r="AG28" s="116"/>
      <c r="AH28" s="116"/>
      <c r="AI28" s="17">
        <f>IF(COUNTA(D28:AH28)&gt;0,(COUNTA(D28:AH28)-COUNTIF(D28:AH28,"NB")-COUNTIF(D28:AH28,"DN")-COUNTIF(D28:AH28,"An")-COUNTIF(D28:AH28,"NB^")-COUNTIF(D28:AH28,0))/COUNTA(D28:AH28),"")</f>
        <v>1</v>
      </c>
    </row>
    <row r="29" spans="1:35" ht="15.75" customHeight="1" x14ac:dyDescent="0.25">
      <c r="A29" s="171" t="s">
        <v>97</v>
      </c>
      <c r="B29" s="172"/>
      <c r="C29" s="173"/>
      <c r="D29" s="29" t="s">
        <v>130</v>
      </c>
      <c r="E29" s="29" t="s">
        <v>129</v>
      </c>
      <c r="F29" s="29" t="s">
        <v>128</v>
      </c>
      <c r="G29" s="29">
        <v>15.5</v>
      </c>
      <c r="H29" s="29">
        <v>6.4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 t="s">
        <v>135</v>
      </c>
      <c r="Q29" s="29" t="s">
        <v>134</v>
      </c>
      <c r="R29" s="29" t="s">
        <v>133</v>
      </c>
      <c r="S29" s="29" t="s">
        <v>132</v>
      </c>
      <c r="T29" s="29" t="s">
        <v>136</v>
      </c>
      <c r="U29" s="29" t="s">
        <v>139</v>
      </c>
      <c r="V29" s="29" t="s">
        <v>138</v>
      </c>
      <c r="W29" s="29" t="s">
        <v>137</v>
      </c>
      <c r="X29" s="29">
        <v>2.7</v>
      </c>
      <c r="Y29" s="29">
        <v>6.5</v>
      </c>
      <c r="Z29" s="29" t="s">
        <v>141</v>
      </c>
      <c r="AA29" s="29" t="s">
        <v>140</v>
      </c>
      <c r="AB29" s="29" t="s">
        <v>142</v>
      </c>
      <c r="AC29" s="29" t="s">
        <v>143</v>
      </c>
      <c r="AD29" s="83">
        <v>0</v>
      </c>
      <c r="AE29" s="83">
        <v>22.5</v>
      </c>
      <c r="AF29" s="139"/>
      <c r="AG29" s="117"/>
      <c r="AH29" s="117"/>
      <c r="AI29" s="19">
        <f>IF(COUNTA(D29:AH29)&gt;0,(COUNTA(D29:AH29)-COUNTIF(D29:AH29,"NB")-COUNTIF(D29:AH29,"DN")-COUNTIF(D29:AH29,"An")-COUNTIF(D29:AH29,"NB^")-COUNTIF(D29:AH29,0))/COUNTA(D29:AH29),"")</f>
        <v>0.7142857142857143</v>
      </c>
    </row>
    <row r="30" spans="1:35" ht="15.75" customHeight="1" x14ac:dyDescent="0.25">
      <c r="A30" s="153" t="s">
        <v>33</v>
      </c>
      <c r="B30" s="154"/>
      <c r="C30" s="155"/>
      <c r="D30" s="84" t="s">
        <v>8</v>
      </c>
      <c r="E30" s="84" t="s">
        <v>8</v>
      </c>
      <c r="F30" s="84" t="s">
        <v>8</v>
      </c>
      <c r="G30" s="84" t="s">
        <v>8</v>
      </c>
      <c r="H30" s="84" t="s">
        <v>9</v>
      </c>
      <c r="I30" s="84" t="s">
        <v>22</v>
      </c>
      <c r="J30" s="84" t="s">
        <v>9</v>
      </c>
      <c r="K30" s="84" t="s">
        <v>9</v>
      </c>
      <c r="L30" s="84" t="s">
        <v>9</v>
      </c>
      <c r="M30" s="84" t="s">
        <v>9</v>
      </c>
      <c r="N30" s="84" t="s">
        <v>8</v>
      </c>
      <c r="O30" s="84" t="s">
        <v>8</v>
      </c>
      <c r="P30" s="84" t="s">
        <v>8</v>
      </c>
      <c r="Q30" s="84" t="s">
        <v>8</v>
      </c>
      <c r="R30" s="84" t="s">
        <v>8</v>
      </c>
      <c r="S30" s="84" t="s">
        <v>8</v>
      </c>
      <c r="T30" s="84" t="s">
        <v>8</v>
      </c>
      <c r="U30" s="84" t="s">
        <v>9</v>
      </c>
      <c r="V30" s="84" t="s">
        <v>8</v>
      </c>
      <c r="W30" s="84" t="s">
        <v>9</v>
      </c>
      <c r="X30" s="84" t="s">
        <v>9</v>
      </c>
      <c r="Y30" s="84" t="s">
        <v>9</v>
      </c>
      <c r="Z30" s="84" t="s">
        <v>8</v>
      </c>
      <c r="AA30" s="84" t="s">
        <v>8</v>
      </c>
      <c r="AB30" s="84" t="s">
        <v>9</v>
      </c>
      <c r="AC30" s="84" t="s">
        <v>9</v>
      </c>
      <c r="AD30" s="84" t="s">
        <v>8</v>
      </c>
      <c r="AE30" s="84" t="s">
        <v>8</v>
      </c>
      <c r="AF30" s="139"/>
      <c r="AG30" s="114"/>
      <c r="AH30" s="114"/>
      <c r="AI30" s="19">
        <f>IF(COUNTA(D30:AH30)&gt;0,(COUNTA(D30:AH30)-COUNTIF(D30:AH30,"NB")-COUNTIF(D30:AH30,"DN")-COUNTIF(D30:AH30,"An")-COUNTIF(D30:AH30,"NB^")-COUNTIF(D30:AH30,0))/COUNTA(D30:AH30),"")</f>
        <v>1</v>
      </c>
    </row>
    <row r="31" spans="1:35" ht="15.75" customHeight="1" x14ac:dyDescent="0.25">
      <c r="A31" s="156" t="s">
        <v>34</v>
      </c>
      <c r="B31" s="157"/>
      <c r="C31" s="158"/>
      <c r="D31" s="72" t="s">
        <v>8</v>
      </c>
      <c r="E31" s="72" t="s">
        <v>8</v>
      </c>
      <c r="F31" s="72" t="s">
        <v>8</v>
      </c>
      <c r="G31" s="72" t="s">
        <v>8</v>
      </c>
      <c r="H31" s="72" t="s">
        <v>9</v>
      </c>
      <c r="I31" s="72" t="s">
        <v>22</v>
      </c>
      <c r="J31" s="72" t="s">
        <v>9</v>
      </c>
      <c r="K31" s="72" t="s">
        <v>9</v>
      </c>
      <c r="L31" s="72" t="s">
        <v>9</v>
      </c>
      <c r="M31" s="72" t="s">
        <v>9</v>
      </c>
      <c r="N31" s="72" t="s">
        <v>8</v>
      </c>
      <c r="O31" s="72" t="s">
        <v>8</v>
      </c>
      <c r="P31" s="72" t="s">
        <v>8</v>
      </c>
      <c r="Q31" s="72" t="s">
        <v>8</v>
      </c>
      <c r="R31" s="72" t="s">
        <v>8</v>
      </c>
      <c r="S31" s="72" t="s">
        <v>8</v>
      </c>
      <c r="T31" s="72" t="s">
        <v>8</v>
      </c>
      <c r="U31" s="72" t="s">
        <v>9</v>
      </c>
      <c r="V31" s="72" t="s">
        <v>8</v>
      </c>
      <c r="W31" s="72" t="s">
        <v>9</v>
      </c>
      <c r="X31" s="72" t="s">
        <v>9</v>
      </c>
      <c r="Y31" s="72" t="s">
        <v>9</v>
      </c>
      <c r="Z31" s="72" t="s">
        <v>8</v>
      </c>
      <c r="AA31" s="72" t="s">
        <v>8</v>
      </c>
      <c r="AB31" s="72" t="s">
        <v>9</v>
      </c>
      <c r="AC31" s="72" t="s">
        <v>9</v>
      </c>
      <c r="AD31" s="72" t="s">
        <v>8</v>
      </c>
      <c r="AE31" s="72" t="s">
        <v>8</v>
      </c>
      <c r="AF31" s="132"/>
      <c r="AG31" s="107"/>
      <c r="AH31" s="107"/>
      <c r="AI31" s="13">
        <f>IF(COUNTA(D31:AH31)&gt;0,(COUNTA(D31:AH31)-COUNTIF(D31:AH31,"NB")-COUNTIF(D31:AH31,"DN")-COUNTIF(D31:AH31,"An")-COUNTIF(D31:AH31,"NB^")-COUNTIF(D31:AH31,0))/COUNTA(D31:AH31),"")</f>
        <v>1</v>
      </c>
    </row>
    <row r="32" spans="1:35" ht="15.75" customHeight="1" x14ac:dyDescent="0.25">
      <c r="A32" s="159" t="s">
        <v>35</v>
      </c>
      <c r="B32" s="160"/>
      <c r="C32" s="161"/>
      <c r="D32" s="85" t="s">
        <v>8</v>
      </c>
      <c r="E32" s="85" t="s">
        <v>8</v>
      </c>
      <c r="F32" s="85" t="s">
        <v>8</v>
      </c>
      <c r="G32" s="85" t="s">
        <v>8</v>
      </c>
      <c r="H32" s="85" t="s">
        <v>9</v>
      </c>
      <c r="I32" s="85" t="s">
        <v>22</v>
      </c>
      <c r="J32" s="85" t="s">
        <v>9</v>
      </c>
      <c r="K32" s="85" t="s">
        <v>9</v>
      </c>
      <c r="L32" s="85" t="s">
        <v>9</v>
      </c>
      <c r="M32" s="85" t="s">
        <v>9</v>
      </c>
      <c r="N32" s="85" t="s">
        <v>8</v>
      </c>
      <c r="O32" s="85" t="s">
        <v>8</v>
      </c>
      <c r="P32" s="85" t="s">
        <v>8</v>
      </c>
      <c r="Q32" s="85" t="s">
        <v>8</v>
      </c>
      <c r="R32" s="85" t="s">
        <v>8</v>
      </c>
      <c r="S32" s="85" t="s">
        <v>8</v>
      </c>
      <c r="T32" s="85" t="s">
        <v>8</v>
      </c>
      <c r="U32" s="85" t="s">
        <v>9</v>
      </c>
      <c r="V32" s="85" t="s">
        <v>8</v>
      </c>
      <c r="W32" s="85" t="s">
        <v>9</v>
      </c>
      <c r="X32" s="85" t="s">
        <v>9</v>
      </c>
      <c r="Y32" s="85" t="s">
        <v>9</v>
      </c>
      <c r="Z32" s="85" t="s">
        <v>8</v>
      </c>
      <c r="AA32" s="85" t="s">
        <v>8</v>
      </c>
      <c r="AB32" s="85" t="s">
        <v>9</v>
      </c>
      <c r="AC32" s="85" t="s">
        <v>9</v>
      </c>
      <c r="AD32" s="85" t="s">
        <v>8</v>
      </c>
      <c r="AE32" s="85" t="s">
        <v>8</v>
      </c>
      <c r="AF32" s="133"/>
      <c r="AG32" s="108"/>
      <c r="AH32" s="108"/>
      <c r="AI32" s="17">
        <f t="shared" si="0"/>
        <v>1</v>
      </c>
    </row>
    <row r="33" spans="1:44" ht="15.75" customHeight="1" x14ac:dyDescent="0.25">
      <c r="A33" s="162" t="s">
        <v>36</v>
      </c>
      <c r="B33" s="163"/>
      <c r="C33" s="164"/>
      <c r="D33" s="81" t="s">
        <v>11</v>
      </c>
      <c r="E33" s="81" t="s">
        <v>11</v>
      </c>
      <c r="F33" s="81" t="s">
        <v>11</v>
      </c>
      <c r="G33" s="81" t="s">
        <v>11</v>
      </c>
      <c r="H33" s="81" t="s">
        <v>11</v>
      </c>
      <c r="I33" s="81" t="s">
        <v>22</v>
      </c>
      <c r="J33" s="81" t="s">
        <v>11</v>
      </c>
      <c r="K33" s="81" t="s">
        <v>11</v>
      </c>
      <c r="L33" s="81" t="s">
        <v>11</v>
      </c>
      <c r="M33" s="81" t="s">
        <v>11</v>
      </c>
      <c r="N33" s="81" t="s">
        <v>11</v>
      </c>
      <c r="O33" s="81" t="s">
        <v>11</v>
      </c>
      <c r="P33" s="81" t="s">
        <v>11</v>
      </c>
      <c r="Q33" s="81" t="s">
        <v>11</v>
      </c>
      <c r="R33" s="81" t="s">
        <v>11</v>
      </c>
      <c r="S33" s="81" t="s">
        <v>11</v>
      </c>
      <c r="T33" s="81" t="s">
        <v>11</v>
      </c>
      <c r="U33" s="81" t="s">
        <v>11</v>
      </c>
      <c r="V33" s="81" t="s">
        <v>11</v>
      </c>
      <c r="W33" s="81" t="s">
        <v>11</v>
      </c>
      <c r="X33" s="81" t="s">
        <v>11</v>
      </c>
      <c r="Y33" s="81" t="s">
        <v>11</v>
      </c>
      <c r="Z33" s="81" t="s">
        <v>11</v>
      </c>
      <c r="AA33" s="81" t="s">
        <v>11</v>
      </c>
      <c r="AB33" s="81" t="s">
        <v>11</v>
      </c>
      <c r="AC33" s="81" t="s">
        <v>11</v>
      </c>
      <c r="AD33" s="81" t="s">
        <v>11</v>
      </c>
      <c r="AE33" s="81" t="s">
        <v>11</v>
      </c>
      <c r="AF33" s="139"/>
      <c r="AG33" s="114"/>
      <c r="AH33" s="114"/>
      <c r="AI33" s="19">
        <f t="shared" si="0"/>
        <v>1</v>
      </c>
    </row>
    <row r="34" spans="1:44" ht="15.75" customHeight="1" x14ac:dyDescent="0.25">
      <c r="A34" s="162" t="s">
        <v>95</v>
      </c>
      <c r="B34" s="163"/>
      <c r="C34" s="164"/>
      <c r="D34" s="81" t="s">
        <v>11</v>
      </c>
      <c r="E34" s="81" t="s">
        <v>11</v>
      </c>
      <c r="F34" s="81" t="s">
        <v>11</v>
      </c>
      <c r="G34" s="81" t="s">
        <v>11</v>
      </c>
      <c r="H34" s="25" t="s">
        <v>11</v>
      </c>
      <c r="I34" s="25" t="s">
        <v>22</v>
      </c>
      <c r="J34" s="25" t="s">
        <v>11</v>
      </c>
      <c r="K34" s="25" t="s">
        <v>11</v>
      </c>
      <c r="L34" s="25" t="s">
        <v>11</v>
      </c>
      <c r="M34" s="25" t="s">
        <v>11</v>
      </c>
      <c r="N34" s="25" t="s">
        <v>11</v>
      </c>
      <c r="O34" s="25" t="s">
        <v>11</v>
      </c>
      <c r="P34" s="25" t="s">
        <v>11</v>
      </c>
      <c r="Q34" s="25" t="s">
        <v>11</v>
      </c>
      <c r="R34" s="25" t="s">
        <v>11</v>
      </c>
      <c r="S34" s="25" t="s">
        <v>11</v>
      </c>
      <c r="T34" s="25" t="s">
        <v>11</v>
      </c>
      <c r="U34" s="25" t="s">
        <v>11</v>
      </c>
      <c r="V34" s="25" t="s">
        <v>11</v>
      </c>
      <c r="W34" s="25" t="s">
        <v>11</v>
      </c>
      <c r="X34" s="25" t="s">
        <v>11</v>
      </c>
      <c r="Y34" s="25" t="s">
        <v>11</v>
      </c>
      <c r="Z34" s="25" t="s">
        <v>11</v>
      </c>
      <c r="AA34" s="25" t="s">
        <v>11</v>
      </c>
      <c r="AB34" s="25" t="s">
        <v>11</v>
      </c>
      <c r="AC34" s="25" t="s">
        <v>11</v>
      </c>
      <c r="AD34" s="81" t="s">
        <v>11</v>
      </c>
      <c r="AE34" s="81" t="s">
        <v>11</v>
      </c>
      <c r="AF34" s="139"/>
      <c r="AG34" s="115"/>
      <c r="AH34" s="115"/>
      <c r="AI34" s="19">
        <f t="shared" si="0"/>
        <v>1</v>
      </c>
    </row>
    <row r="35" spans="1:44" ht="15.75" customHeight="1" thickBot="1" x14ac:dyDescent="0.3">
      <c r="A35" s="165" t="s">
        <v>96</v>
      </c>
      <c r="B35" s="166"/>
      <c r="C35" s="167"/>
      <c r="D35" s="95" t="s">
        <v>11</v>
      </c>
      <c r="E35" s="95" t="s">
        <v>11</v>
      </c>
      <c r="F35" s="95" t="s">
        <v>11</v>
      </c>
      <c r="G35" s="95" t="s">
        <v>11</v>
      </c>
      <c r="H35" s="97" t="s">
        <v>11</v>
      </c>
      <c r="I35" s="97" t="s">
        <v>22</v>
      </c>
      <c r="J35" s="97" t="s">
        <v>11</v>
      </c>
      <c r="K35" s="97" t="s">
        <v>11</v>
      </c>
      <c r="L35" s="97" t="s">
        <v>11</v>
      </c>
      <c r="M35" s="97" t="s">
        <v>11</v>
      </c>
      <c r="N35" s="97" t="s">
        <v>11</v>
      </c>
      <c r="O35" s="97" t="s">
        <v>11</v>
      </c>
      <c r="P35" s="97" t="s">
        <v>11</v>
      </c>
      <c r="Q35" s="97" t="s">
        <v>11</v>
      </c>
      <c r="R35" s="97" t="s">
        <v>11</v>
      </c>
      <c r="S35" s="97" t="s">
        <v>11</v>
      </c>
      <c r="T35" s="97" t="s">
        <v>11</v>
      </c>
      <c r="U35" s="97" t="s">
        <v>11</v>
      </c>
      <c r="V35" s="97" t="s">
        <v>11</v>
      </c>
      <c r="W35" s="97" t="s">
        <v>11</v>
      </c>
      <c r="X35" s="97" t="s">
        <v>11</v>
      </c>
      <c r="Y35" s="97" t="s">
        <v>11</v>
      </c>
      <c r="Z35" s="97" t="s">
        <v>11</v>
      </c>
      <c r="AA35" s="97" t="s">
        <v>11</v>
      </c>
      <c r="AB35" s="97" t="s">
        <v>11</v>
      </c>
      <c r="AC35" s="97" t="s">
        <v>11</v>
      </c>
      <c r="AD35" s="95" t="s">
        <v>11</v>
      </c>
      <c r="AE35" s="95" t="s">
        <v>11</v>
      </c>
      <c r="AF35" s="142"/>
      <c r="AG35" s="118"/>
      <c r="AH35" s="118"/>
      <c r="AI35" s="98">
        <f t="shared" si="0"/>
        <v>1</v>
      </c>
    </row>
    <row r="36" spans="1:44" s="32" customFormat="1" ht="15.75" customHeight="1" x14ac:dyDescent="0.25">
      <c r="A36" s="150" t="s">
        <v>37</v>
      </c>
      <c r="B36" s="151"/>
      <c r="C36" s="152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7"/>
      <c r="S36" s="76"/>
      <c r="T36" s="76"/>
      <c r="U36" s="76"/>
      <c r="V36" s="76"/>
      <c r="W36" s="76"/>
      <c r="X36" s="76"/>
      <c r="Y36" s="76"/>
      <c r="Z36" s="76"/>
      <c r="AA36" s="93"/>
      <c r="AB36" s="76"/>
      <c r="AC36" s="76"/>
      <c r="AD36" s="76"/>
      <c r="AE36" s="76"/>
      <c r="AF36" s="143"/>
      <c r="AG36" s="119"/>
      <c r="AH36" s="120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68" t="s">
        <v>38</v>
      </c>
      <c r="B37" s="169"/>
      <c r="C37" s="170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87"/>
      <c r="W37" s="87"/>
      <c r="X37" s="87"/>
      <c r="Y37" s="87"/>
      <c r="Z37" s="87"/>
      <c r="AA37" s="94"/>
      <c r="AB37" s="87"/>
      <c r="AC37" s="87"/>
      <c r="AD37" s="87"/>
      <c r="AE37" s="87"/>
      <c r="AF37" s="144"/>
      <c r="AG37" s="121"/>
      <c r="AH37" s="122"/>
      <c r="AI37" s="35"/>
    </row>
    <row r="38" spans="1:44" ht="15.75" hidden="1" customHeight="1" x14ac:dyDescent="0.25">
      <c r="A38" s="32"/>
      <c r="B38" s="36"/>
      <c r="C38" s="36"/>
      <c r="D38" s="37"/>
      <c r="E38" s="37"/>
      <c r="F38" s="37"/>
      <c r="G38" s="37"/>
      <c r="H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 t="str">
        <f>IF(AND(AD5&gt;0,COUNTA(AD6:AD37)&gt;0,COUNTA(AD6:AD37)-COUNTIF(AD6:AD37,"NB")-COUNTIF(AD30:AD31, "0")=COUNTA(AD6:AD37)),"AB","")</f>
        <v/>
      </c>
      <c r="AE38" s="37" t="str">
        <f>IF(AND(AE5&gt;0,COUNTA(AE6:AE37)&gt;0,COUNTA(AE6:AE37)-COUNTIF(AE6:AE37,"NB")-COUNTIF(AE30:AE31, "0")=COUNTA(AE6:AE37)),"AB","")</f>
        <v/>
      </c>
      <c r="AF38" s="37" t="str">
        <f>IF(AND(AF5&gt;0,COUNTA(AF6:AF37)&gt;0,COUNTA(AF6:AF37)-COUNTIF(AF6:AF37,"NB")-COUNTIF(AF30:AF31, "0")=COUNTA(AF6:AF37)),"AB","")</f>
        <v/>
      </c>
      <c r="AG38" s="37" t="str">
        <f>IF(AND(AG5&gt;0,COUNTA(AG6:AG37)&gt;0,COUNTA(AG6:AG37)-COUNTIF(AG6:AG37,"NB")-COUNTIF(AG30:AG31, "0")=COUNTA(AG6:AG37)),"AB","")</f>
        <v/>
      </c>
      <c r="AH38" s="37" t="str">
        <f>IF(AND(AH5&gt;0,COUNTA(AH6:AH37)&gt;0,COUNTA(AH6:AH37)-COUNTIF(AH6:AH37,"NB")-COUNTIF(AH30:AH31, "0")=COUNTA(AH6:AH37)),"AB","")</f>
        <v/>
      </c>
      <c r="AI38" s="35"/>
    </row>
    <row r="39" spans="1:44" ht="15.75" hidden="1" customHeight="1" thickBot="1" x14ac:dyDescent="0.3"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 t="str">
        <f>IF(AND(AD5:AD5&gt;0,COUNTA(AD6:AD35),COUNTIF(AD6:AD35,"NB")+COUNTIF(AD6:AD35,0)=COUNTA(AD6:AD35)),"ANB","")</f>
        <v/>
      </c>
      <c r="AE39" s="38" t="str">
        <f>IF(AND(AE5:AE5&gt;0,COUNTA(AE6:AE35),COUNTIF(AE6:AE35,"NB")+COUNTIF(AE6:AE35,0)=COUNTA(AE6:AE35)),"ANB","")</f>
        <v/>
      </c>
      <c r="AF39" s="38" t="str">
        <f>IF(AND(AF5:AF5&gt;0,COUNTA(AF6:AF35),COUNTIF(AF6:AF35,"NB")+COUNTIF(AF6:AF35,0)=COUNTA(AF6:AF35)),"ANB","")</f>
        <v/>
      </c>
      <c r="AG39" s="38" t="str">
        <f>IF(AND(AG5:AG5&gt;0,COUNTA(AG6:AG35),COUNTIF(AG6:AG35,"NB")+COUNTIF(AG6:AG35,0)=COUNTA(AG6:AG35)),"ANB","")</f>
        <v/>
      </c>
      <c r="AH39" s="38" t="str">
        <f>IF(AND(AH5:AH5&gt;0,COUNTA(AH6:AH35),COUNTIF(AH6:AH35,"NB")+COUNTIF(AH6:AH35,0)=COUNTA(AH6:AH35)),"ANB","")</f>
        <v/>
      </c>
    </row>
    <row r="40" spans="1:44" ht="15.75" customHeight="1" thickBot="1" x14ac:dyDescent="0.3">
      <c r="D40" s="39"/>
      <c r="I40" s="104"/>
      <c r="P40" s="104"/>
    </row>
    <row r="41" spans="1:44" ht="15.75" customHeight="1" thickBot="1" x14ac:dyDescent="0.3">
      <c r="A41" s="147" t="s">
        <v>39</v>
      </c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9"/>
    </row>
    <row r="42" spans="1:44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  <c r="AH49" s="59"/>
    </row>
    <row r="50" spans="1:35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COUNTA(D5:AH5)</f>
        <v>31</v>
      </c>
      <c r="AH50" s="59"/>
      <c r="AI50"/>
    </row>
    <row r="51" spans="1:35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COUNTIF(D38:AH38,"AB")</f>
        <v>0</v>
      </c>
      <c r="AH51" s="59"/>
      <c r="AI51"/>
    </row>
    <row r="52" spans="1:35" ht="15.75" customHeight="1" x14ac:dyDescent="0.25">
      <c r="A52" s="54" t="s">
        <v>82</v>
      </c>
      <c r="B52" t="s">
        <v>83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31</v>
      </c>
      <c r="AH52" s="59"/>
      <c r="AI52"/>
    </row>
    <row r="53" spans="1:35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41:AH41"/>
    <mergeCell ref="A36:C36"/>
    <mergeCell ref="A30:C30"/>
    <mergeCell ref="A31:C31"/>
    <mergeCell ref="A32:C32"/>
    <mergeCell ref="A33:C33"/>
    <mergeCell ref="A34:C34"/>
    <mergeCell ref="A35:C35"/>
    <mergeCell ref="A37:C37"/>
  </mergeCells>
  <conditionalFormatting sqref="D36:AH37 AG6:AH35">
    <cfRule type="cellIs" priority="318" stopIfTrue="1" operator="equal">
      <formula>"B"</formula>
    </cfRule>
    <cfRule type="cellIs" dxfId="1969" priority="319" stopIfTrue="1" operator="equal">
      <formula>"M"</formula>
    </cfRule>
    <cfRule type="cellIs" dxfId="1968" priority="320" stopIfTrue="1" operator="equal">
      <formula>"NB"</formula>
    </cfRule>
    <cfRule type="cellIs" dxfId="1967" priority="321" stopIfTrue="1" operator="equal">
      <formula>0</formula>
    </cfRule>
  </conditionalFormatting>
  <conditionalFormatting sqref="H6:K14 H18:K35">
    <cfRule type="cellIs" dxfId="1966" priority="315" stopIfTrue="1" operator="equal">
      <formula>"M"</formula>
    </cfRule>
    <cfRule type="cellIs" dxfId="1965" priority="316" stopIfTrue="1" operator="equal">
      <formula>"NB"</formula>
    </cfRule>
    <cfRule type="cellIs" dxfId="1964" priority="317" stopIfTrue="1" operator="equal">
      <formula>"B"</formula>
    </cfRule>
  </conditionalFormatting>
  <conditionalFormatting sqref="H28:K29">
    <cfRule type="cellIs" dxfId="1963" priority="314" operator="equal">
      <formula>0</formula>
    </cfRule>
  </conditionalFormatting>
  <conditionalFormatting sqref="H15:K17">
    <cfRule type="cellIs" priority="310" stopIfTrue="1" operator="equal">
      <formula>"B"</formula>
    </cfRule>
    <cfRule type="cellIs" dxfId="1962" priority="311" stopIfTrue="1" operator="equal">
      <formula>"M"</formula>
    </cfRule>
    <cfRule type="cellIs" dxfId="1961" priority="312" stopIfTrue="1" operator="equal">
      <formula>"NB"</formula>
    </cfRule>
    <cfRule type="cellIs" dxfId="1960" priority="313" stopIfTrue="1" operator="equal">
      <formula>0</formula>
    </cfRule>
  </conditionalFormatting>
  <conditionalFormatting sqref="Q28">
    <cfRule type="cellIs" priority="290" stopIfTrue="1" operator="equal">
      <formula>"B"</formula>
    </cfRule>
    <cfRule type="cellIs" dxfId="1959" priority="291" stopIfTrue="1" operator="equal">
      <formula>"M"</formula>
    </cfRule>
    <cfRule type="cellIs" dxfId="1958" priority="292" stopIfTrue="1" operator="equal">
      <formula>"NB"</formula>
    </cfRule>
    <cfRule type="cellIs" dxfId="1957" priority="293" stopIfTrue="1" operator="equal">
      <formula>0</formula>
    </cfRule>
  </conditionalFormatting>
  <conditionalFormatting sqref="D22:D29">
    <cfRule type="cellIs" dxfId="1956" priority="248" stopIfTrue="1" operator="equal">
      <formula>"M"</formula>
    </cfRule>
    <cfRule type="cellIs" dxfId="1955" priority="249" stopIfTrue="1" operator="equal">
      <formula>"NB"</formula>
    </cfRule>
    <cfRule type="cellIs" dxfId="1954" priority="250" stopIfTrue="1" operator="equal">
      <formula>"B"</formula>
    </cfRule>
  </conditionalFormatting>
  <conditionalFormatting sqref="D28:D29">
    <cfRule type="cellIs" dxfId="1953" priority="247" operator="equal">
      <formula>0</formula>
    </cfRule>
  </conditionalFormatting>
  <conditionalFormatting sqref="D6:D8 D30:D35 D18:D21">
    <cfRule type="cellIs" dxfId="1952" priority="244" stopIfTrue="1" operator="equal">
      <formula>"M"</formula>
    </cfRule>
    <cfRule type="cellIs" dxfId="1951" priority="245" stopIfTrue="1" operator="equal">
      <formula>"NB"</formula>
    </cfRule>
    <cfRule type="cellIs" dxfId="1950" priority="246" stopIfTrue="1" operator="equal">
      <formula>"B"</formula>
    </cfRule>
  </conditionalFormatting>
  <conditionalFormatting sqref="D15:D17">
    <cfRule type="cellIs" priority="240" stopIfTrue="1" operator="equal">
      <formula>"B"</formula>
    </cfRule>
    <cfRule type="cellIs" dxfId="1949" priority="241" stopIfTrue="1" operator="equal">
      <formula>"M"</formula>
    </cfRule>
    <cfRule type="cellIs" dxfId="1948" priority="242" stopIfTrue="1" operator="equal">
      <formula>"NB"</formula>
    </cfRule>
    <cfRule type="cellIs" dxfId="1947" priority="243" stopIfTrue="1" operator="equal">
      <formula>0</formula>
    </cfRule>
  </conditionalFormatting>
  <conditionalFormatting sqref="D9:D14">
    <cfRule type="cellIs" dxfId="1946" priority="237" stopIfTrue="1" operator="equal">
      <formula>"B"</formula>
    </cfRule>
    <cfRule type="cellIs" dxfId="1945" priority="238" stopIfTrue="1" operator="equal">
      <formula>"M"</formula>
    </cfRule>
    <cfRule type="cellIs" dxfId="1944" priority="239" stopIfTrue="1" operator="between">
      <formula>"NB"</formula>
      <formula>"NB^"</formula>
    </cfRule>
  </conditionalFormatting>
  <conditionalFormatting sqref="P23:Q26 P9:Q14">
    <cfRule type="cellIs" dxfId="1943" priority="223" stopIfTrue="1" operator="equal">
      <formula>"M"</formula>
    </cfRule>
    <cfRule type="cellIs" dxfId="1942" priority="224" stopIfTrue="1" operator="equal">
      <formula>"NB"</formula>
    </cfRule>
    <cfRule type="cellIs" dxfId="1941" priority="225" stopIfTrue="1" operator="equal">
      <formula>"B"</formula>
    </cfRule>
  </conditionalFormatting>
  <conditionalFormatting sqref="P18:Q22 P28 P6:Q8 P27:Q27 P29:Q35">
    <cfRule type="cellIs" dxfId="1940" priority="220" stopIfTrue="1" operator="equal">
      <formula>"M"</formula>
    </cfRule>
    <cfRule type="cellIs" dxfId="1939" priority="221" stopIfTrue="1" operator="equal">
      <formula>"NB"</formula>
    </cfRule>
    <cfRule type="cellIs" dxfId="1938" priority="222" stopIfTrue="1" operator="equal">
      <formula>"B"</formula>
    </cfRule>
  </conditionalFormatting>
  <conditionalFormatting sqref="P28 P29:Q29">
    <cfRule type="cellIs" dxfId="1937" priority="219" operator="equal">
      <formula>0</formula>
    </cfRule>
  </conditionalFormatting>
  <conditionalFormatting sqref="P15:Q17">
    <cfRule type="cellIs" priority="215" stopIfTrue="1" operator="equal">
      <formula>"B"</formula>
    </cfRule>
    <cfRule type="cellIs" dxfId="1936" priority="216" stopIfTrue="1" operator="equal">
      <formula>"M"</formula>
    </cfRule>
    <cfRule type="cellIs" dxfId="1935" priority="217" stopIfTrue="1" operator="equal">
      <formula>"NB"</formula>
    </cfRule>
    <cfRule type="cellIs" dxfId="1934" priority="218" stopIfTrue="1" operator="equal">
      <formula>0</formula>
    </cfRule>
  </conditionalFormatting>
  <conditionalFormatting sqref="W6:Y6">
    <cfRule type="cellIs" priority="204" stopIfTrue="1" operator="equal">
      <formula>"B"</formula>
    </cfRule>
    <cfRule type="cellIs" dxfId="1933" priority="205" stopIfTrue="1" operator="equal">
      <formula>"M"</formula>
    </cfRule>
    <cfRule type="cellIs" dxfId="1932" priority="206" stopIfTrue="1" operator="equal">
      <formula>"NB"</formula>
    </cfRule>
    <cfRule type="cellIs" dxfId="1931" priority="207" stopIfTrue="1" operator="equal">
      <formula>0</formula>
    </cfRule>
  </conditionalFormatting>
  <conditionalFormatting sqref="AD9:AE14">
    <cfRule type="cellIs" dxfId="1930" priority="194" stopIfTrue="1" operator="equal">
      <formula>"M"</formula>
    </cfRule>
    <cfRule type="cellIs" dxfId="1929" priority="195" stopIfTrue="1" operator="equal">
      <formula>"NB"</formula>
    </cfRule>
    <cfRule type="cellIs" dxfId="1928" priority="196" stopIfTrue="1" operator="equal">
      <formula>"B"</formula>
    </cfRule>
  </conditionalFormatting>
  <conditionalFormatting sqref="AD22:AE22">
    <cfRule type="cellIs" priority="183" stopIfTrue="1" operator="equal">
      <formula>"B"</formula>
    </cfRule>
    <cfRule type="cellIs" dxfId="1927" priority="184" stopIfTrue="1" operator="equal">
      <formula>"M"</formula>
    </cfRule>
    <cfRule type="cellIs" dxfId="1926" priority="185" stopIfTrue="1" operator="equal">
      <formula>"NB"</formula>
    </cfRule>
    <cfRule type="cellIs" dxfId="1925" priority="186" stopIfTrue="1" operator="equal">
      <formula>0</formula>
    </cfRule>
  </conditionalFormatting>
  <conditionalFormatting sqref="AD23:AE24 AD6:AE7 AD15:AE21 AD27:AE35">
    <cfRule type="cellIs" priority="176" stopIfTrue="1" operator="equal">
      <formula>"B"</formula>
    </cfRule>
    <cfRule type="cellIs" dxfId="1924" priority="177" stopIfTrue="1" operator="equal">
      <formula>"M"</formula>
    </cfRule>
    <cfRule type="cellIs" dxfId="1923" priority="178" stopIfTrue="1" operator="equal">
      <formula>"NB"</formula>
    </cfRule>
    <cfRule type="cellIs" dxfId="1922" priority="179" stopIfTrue="1" operator="equal">
      <formula>0</formula>
    </cfRule>
  </conditionalFormatting>
  <conditionalFormatting sqref="AD25:AE26">
    <cfRule type="cellIs" dxfId="1921" priority="173" stopIfTrue="1" operator="equal">
      <formula>"M"</formula>
    </cfRule>
    <cfRule type="cellIs" dxfId="1920" priority="174" stopIfTrue="1" operator="equal">
      <formula>"NB"</formula>
    </cfRule>
    <cfRule type="cellIs" dxfId="1919" priority="175" stopIfTrue="1" operator="equal">
      <formula>"B"</formula>
    </cfRule>
  </conditionalFormatting>
  <conditionalFormatting sqref="AF22">
    <cfRule type="cellIs" priority="169" stopIfTrue="1" operator="equal">
      <formula>"B"</formula>
    </cfRule>
    <cfRule type="cellIs" dxfId="1918" priority="170" stopIfTrue="1" operator="equal">
      <formula>"M"</formula>
    </cfRule>
    <cfRule type="cellIs" dxfId="1917" priority="171" stopIfTrue="1" operator="equal">
      <formula>"NB"</formula>
    </cfRule>
    <cfRule type="cellIs" dxfId="1916" priority="172" stopIfTrue="1" operator="equal">
      <formula>0</formula>
    </cfRule>
  </conditionalFormatting>
  <conditionalFormatting sqref="AF9:AF14">
    <cfRule type="cellIs" dxfId="1915" priority="166" stopIfTrue="1" operator="equal">
      <formula>"M"</formula>
    </cfRule>
    <cfRule type="cellIs" dxfId="1914" priority="167" stopIfTrue="1" operator="equal">
      <formula>"NB"</formula>
    </cfRule>
    <cfRule type="cellIs" dxfId="1913" priority="168" stopIfTrue="1" operator="equal">
      <formula>"B"</formula>
    </cfRule>
  </conditionalFormatting>
  <conditionalFormatting sqref="AF6:AF8 AF15:AF21 AF23:AF24 AF27:AF35">
    <cfRule type="cellIs" priority="162" stopIfTrue="1" operator="equal">
      <formula>"B"</formula>
    </cfRule>
    <cfRule type="cellIs" dxfId="1912" priority="163" stopIfTrue="1" operator="equal">
      <formula>"M"</formula>
    </cfRule>
    <cfRule type="cellIs" dxfId="1911" priority="164" stopIfTrue="1" operator="equal">
      <formula>"NB"</formula>
    </cfRule>
    <cfRule type="cellIs" dxfId="1910" priority="165" stopIfTrue="1" operator="equal">
      <formula>0</formula>
    </cfRule>
  </conditionalFormatting>
  <conditionalFormatting sqref="AF25:AF26">
    <cfRule type="cellIs" dxfId="1909" priority="159" stopIfTrue="1" operator="equal">
      <formula>"M"</formula>
    </cfRule>
    <cfRule type="cellIs" dxfId="1908" priority="160" stopIfTrue="1" operator="equal">
      <formula>"NB"</formula>
    </cfRule>
    <cfRule type="cellIs" dxfId="1907" priority="161" stopIfTrue="1" operator="equal">
      <formula>"B"</formula>
    </cfRule>
  </conditionalFormatting>
  <conditionalFormatting sqref="E22:E29">
    <cfRule type="cellIs" dxfId="1906" priority="156" stopIfTrue="1" operator="equal">
      <formula>"M"</formula>
    </cfRule>
    <cfRule type="cellIs" dxfId="1905" priority="157" stopIfTrue="1" operator="equal">
      <formula>"NB"</formula>
    </cfRule>
    <cfRule type="cellIs" dxfId="1904" priority="158" stopIfTrue="1" operator="equal">
      <formula>"B"</formula>
    </cfRule>
  </conditionalFormatting>
  <conditionalFormatting sqref="E28:E29">
    <cfRule type="cellIs" dxfId="1903" priority="155" operator="equal">
      <formula>0</formula>
    </cfRule>
  </conditionalFormatting>
  <conditionalFormatting sqref="E6:E8 E30:E35 E18:E21">
    <cfRule type="cellIs" dxfId="1902" priority="152" stopIfTrue="1" operator="equal">
      <formula>"M"</formula>
    </cfRule>
    <cfRule type="cellIs" dxfId="1901" priority="153" stopIfTrue="1" operator="equal">
      <formula>"NB"</formula>
    </cfRule>
    <cfRule type="cellIs" dxfId="1900" priority="154" stopIfTrue="1" operator="equal">
      <formula>"B"</formula>
    </cfRule>
  </conditionalFormatting>
  <conditionalFormatting sqref="E15:E17">
    <cfRule type="cellIs" priority="148" stopIfTrue="1" operator="equal">
      <formula>"B"</formula>
    </cfRule>
    <cfRule type="cellIs" dxfId="1899" priority="149" stopIfTrue="1" operator="equal">
      <formula>"M"</formula>
    </cfRule>
    <cfRule type="cellIs" dxfId="1898" priority="150" stopIfTrue="1" operator="equal">
      <formula>"NB"</formula>
    </cfRule>
    <cfRule type="cellIs" dxfId="1897" priority="151" stopIfTrue="1" operator="equal">
      <formula>0</formula>
    </cfRule>
  </conditionalFormatting>
  <conditionalFormatting sqref="E9:E14">
    <cfRule type="cellIs" dxfId="1896" priority="145" stopIfTrue="1" operator="equal">
      <formula>"B"</formula>
    </cfRule>
    <cfRule type="cellIs" dxfId="1895" priority="146" stopIfTrue="1" operator="equal">
      <formula>"M"</formula>
    </cfRule>
    <cfRule type="cellIs" dxfId="1894" priority="147" stopIfTrue="1" operator="between">
      <formula>"NB"</formula>
      <formula>"NB^"</formula>
    </cfRule>
  </conditionalFormatting>
  <conditionalFormatting sqref="F22:G29">
    <cfRule type="cellIs" dxfId="1893" priority="142" stopIfTrue="1" operator="equal">
      <formula>"M"</formula>
    </cfRule>
    <cfRule type="cellIs" dxfId="1892" priority="143" stopIfTrue="1" operator="equal">
      <formula>"NB"</formula>
    </cfRule>
    <cfRule type="cellIs" dxfId="1891" priority="144" stopIfTrue="1" operator="equal">
      <formula>"B"</formula>
    </cfRule>
  </conditionalFormatting>
  <conditionalFormatting sqref="F28:G29">
    <cfRule type="cellIs" dxfId="1890" priority="141" operator="equal">
      <formula>0</formula>
    </cfRule>
  </conditionalFormatting>
  <conditionalFormatting sqref="F6:G8 F30:G35 F18:G21">
    <cfRule type="cellIs" dxfId="1889" priority="138" stopIfTrue="1" operator="equal">
      <formula>"M"</formula>
    </cfRule>
    <cfRule type="cellIs" dxfId="1888" priority="139" stopIfTrue="1" operator="equal">
      <formula>"NB"</formula>
    </cfRule>
    <cfRule type="cellIs" dxfId="1887" priority="140" stopIfTrue="1" operator="equal">
      <formula>"B"</formula>
    </cfRule>
  </conditionalFormatting>
  <conditionalFormatting sqref="F15:G17">
    <cfRule type="cellIs" priority="134" stopIfTrue="1" operator="equal">
      <formula>"B"</formula>
    </cfRule>
    <cfRule type="cellIs" dxfId="1886" priority="135" stopIfTrue="1" operator="equal">
      <formula>"M"</formula>
    </cfRule>
    <cfRule type="cellIs" dxfId="1885" priority="136" stopIfTrue="1" operator="equal">
      <formula>"NB"</formula>
    </cfRule>
    <cfRule type="cellIs" dxfId="1884" priority="137" stopIfTrue="1" operator="equal">
      <formula>0</formula>
    </cfRule>
  </conditionalFormatting>
  <conditionalFormatting sqref="F9:G14">
    <cfRule type="cellIs" dxfId="1883" priority="131" stopIfTrue="1" operator="equal">
      <formula>"B"</formula>
    </cfRule>
    <cfRule type="cellIs" dxfId="1882" priority="132" stopIfTrue="1" operator="equal">
      <formula>"M"</formula>
    </cfRule>
    <cfRule type="cellIs" dxfId="1881" priority="133" stopIfTrue="1" operator="between">
      <formula>"NB"</formula>
      <formula>"NB^"</formula>
    </cfRule>
  </conditionalFormatting>
  <conditionalFormatting sqref="L6:L14 L18:L35">
    <cfRule type="cellIs" dxfId="1880" priority="128" stopIfTrue="1" operator="equal">
      <formula>"M"</formula>
    </cfRule>
    <cfRule type="cellIs" dxfId="1879" priority="129" stopIfTrue="1" operator="equal">
      <formula>"NB"</formula>
    </cfRule>
    <cfRule type="cellIs" dxfId="1878" priority="130" stopIfTrue="1" operator="equal">
      <formula>"B"</formula>
    </cfRule>
  </conditionalFormatting>
  <conditionalFormatting sqref="L28:L29">
    <cfRule type="cellIs" dxfId="1877" priority="127" operator="equal">
      <formula>0</formula>
    </cfRule>
  </conditionalFormatting>
  <conditionalFormatting sqref="L15:L17">
    <cfRule type="cellIs" priority="123" stopIfTrue="1" operator="equal">
      <formula>"B"</formula>
    </cfRule>
    <cfRule type="cellIs" dxfId="1876" priority="124" stopIfTrue="1" operator="equal">
      <formula>"M"</formula>
    </cfRule>
    <cfRule type="cellIs" dxfId="1875" priority="125" stopIfTrue="1" operator="equal">
      <formula>"NB"</formula>
    </cfRule>
    <cfRule type="cellIs" dxfId="1874" priority="126" stopIfTrue="1" operator="equal">
      <formula>0</formula>
    </cfRule>
  </conditionalFormatting>
  <conditionalFormatting sqref="M6:M14 M18:M35">
    <cfRule type="cellIs" dxfId="1873" priority="120" stopIfTrue="1" operator="equal">
      <formula>"M"</formula>
    </cfRule>
    <cfRule type="cellIs" dxfId="1872" priority="121" stopIfTrue="1" operator="equal">
      <formula>"NB"</formula>
    </cfRule>
    <cfRule type="cellIs" dxfId="1871" priority="122" stopIfTrue="1" operator="equal">
      <formula>"B"</formula>
    </cfRule>
  </conditionalFormatting>
  <conditionalFormatting sqref="M28:M29">
    <cfRule type="cellIs" dxfId="1870" priority="119" operator="equal">
      <formula>0</formula>
    </cfRule>
  </conditionalFormatting>
  <conditionalFormatting sqref="M15:M17">
    <cfRule type="cellIs" priority="115" stopIfTrue="1" operator="equal">
      <formula>"B"</formula>
    </cfRule>
    <cfRule type="cellIs" dxfId="1869" priority="116" stopIfTrue="1" operator="equal">
      <formula>"M"</formula>
    </cfRule>
    <cfRule type="cellIs" dxfId="1868" priority="117" stopIfTrue="1" operator="equal">
      <formula>"NB"</formula>
    </cfRule>
    <cfRule type="cellIs" dxfId="1867" priority="118" stopIfTrue="1" operator="equal">
      <formula>0</formula>
    </cfRule>
  </conditionalFormatting>
  <conditionalFormatting sqref="N6:N14 N18:N35">
    <cfRule type="cellIs" dxfId="1866" priority="112" stopIfTrue="1" operator="equal">
      <formula>"M"</formula>
    </cfRule>
    <cfRule type="cellIs" dxfId="1865" priority="113" stopIfTrue="1" operator="equal">
      <formula>"NB"</formula>
    </cfRule>
    <cfRule type="cellIs" dxfId="1864" priority="114" stopIfTrue="1" operator="equal">
      <formula>"B"</formula>
    </cfRule>
  </conditionalFormatting>
  <conditionalFormatting sqref="N28:N29">
    <cfRule type="cellIs" dxfId="1863" priority="111" operator="equal">
      <formula>0</formula>
    </cfRule>
  </conditionalFormatting>
  <conditionalFormatting sqref="N15:N17">
    <cfRule type="cellIs" priority="107" stopIfTrue="1" operator="equal">
      <formula>"B"</formula>
    </cfRule>
    <cfRule type="cellIs" dxfId="1862" priority="108" stopIfTrue="1" operator="equal">
      <formula>"M"</formula>
    </cfRule>
    <cfRule type="cellIs" dxfId="1861" priority="109" stopIfTrue="1" operator="equal">
      <formula>"NB"</formula>
    </cfRule>
    <cfRule type="cellIs" dxfId="1860" priority="110" stopIfTrue="1" operator="equal">
      <formula>0</formula>
    </cfRule>
  </conditionalFormatting>
  <conditionalFormatting sqref="O6:O14 O18:O35">
    <cfRule type="cellIs" dxfId="1859" priority="104" stopIfTrue="1" operator="equal">
      <formula>"M"</formula>
    </cfRule>
    <cfRule type="cellIs" dxfId="1858" priority="105" stopIfTrue="1" operator="equal">
      <formula>"NB"</formula>
    </cfRule>
    <cfRule type="cellIs" dxfId="1857" priority="106" stopIfTrue="1" operator="equal">
      <formula>"B"</formula>
    </cfRule>
  </conditionalFormatting>
  <conditionalFormatting sqref="O28:O29">
    <cfRule type="cellIs" dxfId="1856" priority="103" operator="equal">
      <formula>0</formula>
    </cfRule>
  </conditionalFormatting>
  <conditionalFormatting sqref="O15:O17">
    <cfRule type="cellIs" priority="99" stopIfTrue="1" operator="equal">
      <formula>"B"</formula>
    </cfRule>
    <cfRule type="cellIs" dxfId="1855" priority="100" stopIfTrue="1" operator="equal">
      <formula>"M"</formula>
    </cfRule>
    <cfRule type="cellIs" dxfId="1854" priority="101" stopIfTrue="1" operator="equal">
      <formula>"NB"</formula>
    </cfRule>
    <cfRule type="cellIs" dxfId="1853" priority="102" stopIfTrue="1" operator="equal">
      <formula>0</formula>
    </cfRule>
  </conditionalFormatting>
  <conditionalFormatting sqref="R28">
    <cfRule type="cellIs" priority="95" stopIfTrue="1" operator="equal">
      <formula>"B"</formula>
    </cfRule>
    <cfRule type="cellIs" dxfId="1852" priority="96" stopIfTrue="1" operator="equal">
      <formula>"M"</formula>
    </cfRule>
    <cfRule type="cellIs" dxfId="1851" priority="97" stopIfTrue="1" operator="equal">
      <formula>"NB"</formula>
    </cfRule>
    <cfRule type="cellIs" dxfId="1850" priority="98" stopIfTrue="1" operator="equal">
      <formula>0</formula>
    </cfRule>
  </conditionalFormatting>
  <conditionalFormatting sqref="R23:R26 R9:R14">
    <cfRule type="cellIs" dxfId="1849" priority="92" stopIfTrue="1" operator="equal">
      <formula>"M"</formula>
    </cfRule>
    <cfRule type="cellIs" dxfId="1848" priority="93" stopIfTrue="1" operator="equal">
      <formula>"NB"</formula>
    </cfRule>
    <cfRule type="cellIs" dxfId="1847" priority="94" stopIfTrue="1" operator="equal">
      <formula>"B"</formula>
    </cfRule>
  </conditionalFormatting>
  <conditionalFormatting sqref="R18:R22 R6:R8 R27 R29:R35">
    <cfRule type="cellIs" dxfId="1846" priority="89" stopIfTrue="1" operator="equal">
      <formula>"M"</formula>
    </cfRule>
    <cfRule type="cellIs" dxfId="1845" priority="90" stopIfTrue="1" operator="equal">
      <formula>"NB"</formula>
    </cfRule>
    <cfRule type="cellIs" dxfId="1844" priority="91" stopIfTrue="1" operator="equal">
      <formula>"B"</formula>
    </cfRule>
  </conditionalFormatting>
  <conditionalFormatting sqref="R29">
    <cfRule type="cellIs" dxfId="1843" priority="88" operator="equal">
      <formula>0</formula>
    </cfRule>
  </conditionalFormatting>
  <conditionalFormatting sqref="R15:R17">
    <cfRule type="cellIs" priority="84" stopIfTrue="1" operator="equal">
      <formula>"B"</formula>
    </cfRule>
    <cfRule type="cellIs" dxfId="1842" priority="85" stopIfTrue="1" operator="equal">
      <formula>"M"</formula>
    </cfRule>
    <cfRule type="cellIs" dxfId="1841" priority="86" stopIfTrue="1" operator="equal">
      <formula>"NB"</formula>
    </cfRule>
    <cfRule type="cellIs" dxfId="1840" priority="87" stopIfTrue="1" operator="equal">
      <formula>0</formula>
    </cfRule>
  </conditionalFormatting>
  <conditionalFormatting sqref="S28">
    <cfRule type="cellIs" priority="80" stopIfTrue="1" operator="equal">
      <formula>"B"</formula>
    </cfRule>
    <cfRule type="cellIs" dxfId="1839" priority="81" stopIfTrue="1" operator="equal">
      <formula>"M"</formula>
    </cfRule>
    <cfRule type="cellIs" dxfId="1838" priority="82" stopIfTrue="1" operator="equal">
      <formula>"NB"</formula>
    </cfRule>
    <cfRule type="cellIs" dxfId="1837" priority="83" stopIfTrue="1" operator="equal">
      <formula>0</formula>
    </cfRule>
  </conditionalFormatting>
  <conditionalFormatting sqref="S23:S26 S9:S14">
    <cfRule type="cellIs" dxfId="1836" priority="77" stopIfTrue="1" operator="equal">
      <formula>"M"</formula>
    </cfRule>
    <cfRule type="cellIs" dxfId="1835" priority="78" stopIfTrue="1" operator="equal">
      <formula>"NB"</formula>
    </cfRule>
    <cfRule type="cellIs" dxfId="1834" priority="79" stopIfTrue="1" operator="equal">
      <formula>"B"</formula>
    </cfRule>
  </conditionalFormatting>
  <conditionalFormatting sqref="S18:S22 S6:S8 S27 S29:S35">
    <cfRule type="cellIs" dxfId="1833" priority="74" stopIfTrue="1" operator="equal">
      <formula>"M"</formula>
    </cfRule>
    <cfRule type="cellIs" dxfId="1832" priority="75" stopIfTrue="1" operator="equal">
      <formula>"NB"</formula>
    </cfRule>
    <cfRule type="cellIs" dxfId="1831" priority="76" stopIfTrue="1" operator="equal">
      <formula>"B"</formula>
    </cfRule>
  </conditionalFormatting>
  <conditionalFormatting sqref="S29">
    <cfRule type="cellIs" dxfId="1830" priority="73" operator="equal">
      <formula>0</formula>
    </cfRule>
  </conditionalFormatting>
  <conditionalFormatting sqref="S15:S17">
    <cfRule type="cellIs" priority="69" stopIfTrue="1" operator="equal">
      <formula>"B"</formula>
    </cfRule>
    <cfRule type="cellIs" dxfId="1829" priority="70" stopIfTrue="1" operator="equal">
      <formula>"M"</formula>
    </cfRule>
    <cfRule type="cellIs" dxfId="1828" priority="71" stopIfTrue="1" operator="equal">
      <formula>"NB"</formula>
    </cfRule>
    <cfRule type="cellIs" dxfId="1827" priority="72" stopIfTrue="1" operator="equal">
      <formula>0</formula>
    </cfRule>
  </conditionalFormatting>
  <conditionalFormatting sqref="T28:U28">
    <cfRule type="cellIs" priority="65" stopIfTrue="1" operator="equal">
      <formula>"B"</formula>
    </cfRule>
    <cfRule type="cellIs" dxfId="1826" priority="66" stopIfTrue="1" operator="equal">
      <formula>"M"</formula>
    </cfRule>
    <cfRule type="cellIs" dxfId="1825" priority="67" stopIfTrue="1" operator="equal">
      <formula>"NB"</formula>
    </cfRule>
    <cfRule type="cellIs" dxfId="1824" priority="68" stopIfTrue="1" operator="equal">
      <formula>0</formula>
    </cfRule>
  </conditionalFormatting>
  <conditionalFormatting sqref="T23:U26 T9:U14">
    <cfRule type="cellIs" dxfId="1823" priority="62" stopIfTrue="1" operator="equal">
      <formula>"M"</formula>
    </cfRule>
    <cfRule type="cellIs" dxfId="1822" priority="63" stopIfTrue="1" operator="equal">
      <formula>"NB"</formula>
    </cfRule>
    <cfRule type="cellIs" dxfId="1821" priority="64" stopIfTrue="1" operator="equal">
      <formula>"B"</formula>
    </cfRule>
  </conditionalFormatting>
  <conditionalFormatting sqref="T18:U22 T6:U8 T27:U27 T29:U35">
    <cfRule type="cellIs" dxfId="1820" priority="59" stopIfTrue="1" operator="equal">
      <formula>"M"</formula>
    </cfRule>
    <cfRule type="cellIs" dxfId="1819" priority="60" stopIfTrue="1" operator="equal">
      <formula>"NB"</formula>
    </cfRule>
    <cfRule type="cellIs" dxfId="1818" priority="61" stopIfTrue="1" operator="equal">
      <formula>"B"</formula>
    </cfRule>
  </conditionalFormatting>
  <conditionalFormatting sqref="T29:U29">
    <cfRule type="cellIs" dxfId="1817" priority="58" operator="equal">
      <formula>0</formula>
    </cfRule>
  </conditionalFormatting>
  <conditionalFormatting sqref="T15:U17">
    <cfRule type="cellIs" priority="54" stopIfTrue="1" operator="equal">
      <formula>"B"</formula>
    </cfRule>
    <cfRule type="cellIs" dxfId="1816" priority="55" stopIfTrue="1" operator="equal">
      <formula>"M"</formula>
    </cfRule>
    <cfRule type="cellIs" dxfId="1815" priority="56" stopIfTrue="1" operator="equal">
      <formula>"NB"</formula>
    </cfRule>
    <cfRule type="cellIs" dxfId="1814" priority="57" stopIfTrue="1" operator="equal">
      <formula>0</formula>
    </cfRule>
  </conditionalFormatting>
  <conditionalFormatting sqref="V28:Y28">
    <cfRule type="cellIs" priority="50" stopIfTrue="1" operator="equal">
      <formula>"B"</formula>
    </cfRule>
    <cfRule type="cellIs" dxfId="1813" priority="51" stopIfTrue="1" operator="equal">
      <formula>"M"</formula>
    </cfRule>
    <cfRule type="cellIs" dxfId="1812" priority="52" stopIfTrue="1" operator="equal">
      <formula>"NB"</formula>
    </cfRule>
    <cfRule type="cellIs" dxfId="1811" priority="53" stopIfTrue="1" operator="equal">
      <formula>0</formula>
    </cfRule>
  </conditionalFormatting>
  <conditionalFormatting sqref="V23:Y26 V9:Y14">
    <cfRule type="cellIs" dxfId="1810" priority="47" stopIfTrue="1" operator="equal">
      <formula>"M"</formula>
    </cfRule>
    <cfRule type="cellIs" dxfId="1809" priority="48" stopIfTrue="1" operator="equal">
      <formula>"NB"</formula>
    </cfRule>
    <cfRule type="cellIs" dxfId="1808" priority="49" stopIfTrue="1" operator="equal">
      <formula>"B"</formula>
    </cfRule>
  </conditionalFormatting>
  <conditionalFormatting sqref="V6:V8 W7:Y8 V18:Y22 V27:Y27 V29:Y35">
    <cfRule type="cellIs" dxfId="1807" priority="44" stopIfTrue="1" operator="equal">
      <formula>"M"</formula>
    </cfRule>
    <cfRule type="cellIs" dxfId="1806" priority="45" stopIfTrue="1" operator="equal">
      <formula>"NB"</formula>
    </cfRule>
    <cfRule type="cellIs" dxfId="1805" priority="46" stopIfTrue="1" operator="equal">
      <formula>"B"</formula>
    </cfRule>
  </conditionalFormatting>
  <conditionalFormatting sqref="V29:Y29">
    <cfRule type="cellIs" dxfId="1804" priority="43" operator="equal">
      <formula>0</formula>
    </cfRule>
  </conditionalFormatting>
  <conditionalFormatting sqref="V15:Y17">
    <cfRule type="cellIs" priority="39" stopIfTrue="1" operator="equal">
      <formula>"B"</formula>
    </cfRule>
    <cfRule type="cellIs" dxfId="1803" priority="40" stopIfTrue="1" operator="equal">
      <formula>"M"</formula>
    </cfRule>
    <cfRule type="cellIs" dxfId="1802" priority="41" stopIfTrue="1" operator="equal">
      <formula>"NB"</formula>
    </cfRule>
    <cfRule type="cellIs" dxfId="1801" priority="42" stopIfTrue="1" operator="equal">
      <formula>0</formula>
    </cfRule>
  </conditionalFormatting>
  <conditionalFormatting sqref="Z6">
    <cfRule type="cellIs" priority="35" stopIfTrue="1" operator="equal">
      <formula>"B"</formula>
    </cfRule>
    <cfRule type="cellIs" dxfId="1800" priority="36" stopIfTrue="1" operator="equal">
      <formula>"M"</formula>
    </cfRule>
    <cfRule type="cellIs" dxfId="1799" priority="37" stopIfTrue="1" operator="equal">
      <formula>"NB"</formula>
    </cfRule>
    <cfRule type="cellIs" dxfId="1798" priority="38" stopIfTrue="1" operator="equal">
      <formula>0</formula>
    </cfRule>
  </conditionalFormatting>
  <conditionalFormatting sqref="Z28">
    <cfRule type="cellIs" priority="31" stopIfTrue="1" operator="equal">
      <formula>"B"</formula>
    </cfRule>
    <cfRule type="cellIs" dxfId="1797" priority="32" stopIfTrue="1" operator="equal">
      <formula>"M"</formula>
    </cfRule>
    <cfRule type="cellIs" dxfId="1796" priority="33" stopIfTrue="1" operator="equal">
      <formula>"NB"</formula>
    </cfRule>
    <cfRule type="cellIs" dxfId="1795" priority="34" stopIfTrue="1" operator="equal">
      <formula>0</formula>
    </cfRule>
  </conditionalFormatting>
  <conditionalFormatting sqref="Z23:Z26 Z9:Z14">
    <cfRule type="cellIs" dxfId="1794" priority="28" stopIfTrue="1" operator="equal">
      <formula>"M"</formula>
    </cfRule>
    <cfRule type="cellIs" dxfId="1793" priority="29" stopIfTrue="1" operator="equal">
      <formula>"NB"</formula>
    </cfRule>
    <cfRule type="cellIs" dxfId="1792" priority="30" stopIfTrue="1" operator="equal">
      <formula>"B"</formula>
    </cfRule>
  </conditionalFormatting>
  <conditionalFormatting sqref="Z7:Z8 Z18:Z22 Z27 Z29:Z35">
    <cfRule type="cellIs" dxfId="1791" priority="25" stopIfTrue="1" operator="equal">
      <formula>"M"</formula>
    </cfRule>
    <cfRule type="cellIs" dxfId="1790" priority="26" stopIfTrue="1" operator="equal">
      <formula>"NB"</formula>
    </cfRule>
    <cfRule type="cellIs" dxfId="1789" priority="27" stopIfTrue="1" operator="equal">
      <formula>"B"</formula>
    </cfRule>
  </conditionalFormatting>
  <conditionalFormatting sqref="Z29">
    <cfRule type="cellIs" dxfId="1788" priority="24" operator="equal">
      <formula>0</formula>
    </cfRule>
  </conditionalFormatting>
  <conditionalFormatting sqref="Z15:Z17">
    <cfRule type="cellIs" priority="20" stopIfTrue="1" operator="equal">
      <formula>"B"</formula>
    </cfRule>
    <cfRule type="cellIs" dxfId="1787" priority="21" stopIfTrue="1" operator="equal">
      <formula>"M"</formula>
    </cfRule>
    <cfRule type="cellIs" dxfId="1786" priority="22" stopIfTrue="1" operator="equal">
      <formula>"NB"</formula>
    </cfRule>
    <cfRule type="cellIs" dxfId="1785" priority="23" stopIfTrue="1" operator="equal">
      <formula>0</formula>
    </cfRule>
  </conditionalFormatting>
  <conditionalFormatting sqref="AA6:AC6">
    <cfRule type="cellIs" priority="16" stopIfTrue="1" operator="equal">
      <formula>"B"</formula>
    </cfRule>
    <cfRule type="cellIs" dxfId="1784" priority="17" stopIfTrue="1" operator="equal">
      <formula>"M"</formula>
    </cfRule>
    <cfRule type="cellIs" dxfId="1783" priority="18" stopIfTrue="1" operator="equal">
      <formula>"NB"</formula>
    </cfRule>
    <cfRule type="cellIs" dxfId="1782" priority="19" stopIfTrue="1" operator="equal">
      <formula>0</formula>
    </cfRule>
  </conditionalFormatting>
  <conditionalFormatting sqref="AA28:AC28">
    <cfRule type="cellIs" priority="12" stopIfTrue="1" operator="equal">
      <formula>"B"</formula>
    </cfRule>
    <cfRule type="cellIs" dxfId="1781" priority="13" stopIfTrue="1" operator="equal">
      <formula>"M"</formula>
    </cfRule>
    <cfRule type="cellIs" dxfId="1780" priority="14" stopIfTrue="1" operator="equal">
      <formula>"NB"</formula>
    </cfRule>
    <cfRule type="cellIs" dxfId="1779" priority="15" stopIfTrue="1" operator="equal">
      <formula>0</formula>
    </cfRule>
  </conditionalFormatting>
  <conditionalFormatting sqref="AA23:AC26 AA9:AC14">
    <cfRule type="cellIs" dxfId="1778" priority="9" stopIfTrue="1" operator="equal">
      <formula>"M"</formula>
    </cfRule>
    <cfRule type="cellIs" dxfId="1777" priority="10" stopIfTrue="1" operator="equal">
      <formula>"NB"</formula>
    </cfRule>
    <cfRule type="cellIs" dxfId="1776" priority="11" stopIfTrue="1" operator="equal">
      <formula>"B"</formula>
    </cfRule>
  </conditionalFormatting>
  <conditionalFormatting sqref="AA7:AC8 AA18:AC22 AA27:AC27 AA29:AC35 AD8:AE8">
    <cfRule type="cellIs" dxfId="1775" priority="6" stopIfTrue="1" operator="equal">
      <formula>"M"</formula>
    </cfRule>
    <cfRule type="cellIs" dxfId="1774" priority="7" stopIfTrue="1" operator="equal">
      <formula>"NB"</formula>
    </cfRule>
    <cfRule type="cellIs" dxfId="1773" priority="8" stopIfTrue="1" operator="equal">
      <formula>"B"</formula>
    </cfRule>
  </conditionalFormatting>
  <conditionalFormatting sqref="AA29:AC29">
    <cfRule type="cellIs" dxfId="1772" priority="5" operator="equal">
      <formula>0</formula>
    </cfRule>
  </conditionalFormatting>
  <conditionalFormatting sqref="AA15:AC17">
    <cfRule type="cellIs" priority="1" stopIfTrue="1" operator="equal">
      <formula>"B"</formula>
    </cfRule>
    <cfRule type="cellIs" dxfId="1771" priority="2" stopIfTrue="1" operator="equal">
      <formula>"M"</formula>
    </cfRule>
    <cfRule type="cellIs" dxfId="1770" priority="3" stopIfTrue="1" operator="equal">
      <formula>"NB"</formula>
    </cfRule>
    <cfRule type="cellIs" dxfId="1769" priority="4" stopIfTrue="1" operator="equal">
      <formula>0</formula>
    </cfRule>
  </conditionalFormatting>
  <pageMargins left="0.75" right="0.75" top="1" bottom="1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R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4" width="5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91</v>
      </c>
    </row>
    <row r="3" spans="1:44" ht="23.25" x14ac:dyDescent="0.35">
      <c r="A3" s="1" t="s">
        <v>2</v>
      </c>
      <c r="P3" s="4" t="s">
        <v>103</v>
      </c>
    </row>
    <row r="4" spans="1:44" s="5" customFormat="1" ht="15.75" customHeight="1" thickBot="1" x14ac:dyDescent="0.3">
      <c r="C4" s="6"/>
      <c r="G4" s="6"/>
      <c r="I4" s="5" t="s">
        <v>3</v>
      </c>
      <c r="J4" s="5" t="s">
        <v>3</v>
      </c>
      <c r="M4" s="6"/>
      <c r="P4" s="5" t="s">
        <v>3</v>
      </c>
      <c r="Q4" s="5" t="s">
        <v>3</v>
      </c>
      <c r="W4" s="5" t="s">
        <v>3</v>
      </c>
      <c r="X4" s="5" t="s">
        <v>3</v>
      </c>
      <c r="AD4" s="5" t="s">
        <v>3</v>
      </c>
      <c r="AE4" s="5" t="s">
        <v>3</v>
      </c>
      <c r="AH4" s="5" t="s">
        <v>4</v>
      </c>
      <c r="AJ4"/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9">
        <v>26</v>
      </c>
      <c r="AD5" s="9">
        <v>27</v>
      </c>
      <c r="AE5" s="9">
        <v>28</v>
      </c>
      <c r="AF5" s="9">
        <v>29</v>
      </c>
      <c r="AG5" s="9">
        <v>30</v>
      </c>
      <c r="AH5" s="10">
        <v>31</v>
      </c>
      <c r="AI5" s="11" t="s">
        <v>6</v>
      </c>
      <c r="AJ5"/>
      <c r="AK5"/>
      <c r="AL5"/>
      <c r="AM5"/>
      <c r="AN5"/>
      <c r="AO5"/>
      <c r="AP5"/>
      <c r="AQ5"/>
      <c r="AR5"/>
    </row>
    <row r="6" spans="1:44" ht="15.75" customHeight="1" x14ac:dyDescent="0.25">
      <c r="A6" s="156" t="s">
        <v>7</v>
      </c>
      <c r="B6" s="157"/>
      <c r="C6" s="158"/>
      <c r="D6" s="72" t="s">
        <v>8</v>
      </c>
      <c r="E6" s="72" t="s">
        <v>8</v>
      </c>
      <c r="F6" s="72" t="s">
        <v>8</v>
      </c>
      <c r="G6" s="72" t="s">
        <v>8</v>
      </c>
      <c r="H6" s="72" t="s">
        <v>8</v>
      </c>
      <c r="I6" s="72" t="s">
        <v>8</v>
      </c>
      <c r="J6" s="72" t="s">
        <v>8</v>
      </c>
      <c r="K6" s="72" t="s">
        <v>8</v>
      </c>
      <c r="L6" s="72" t="s">
        <v>8</v>
      </c>
      <c r="M6" s="72" t="s">
        <v>8</v>
      </c>
      <c r="N6" s="72" t="s">
        <v>8</v>
      </c>
      <c r="O6" s="72" t="s">
        <v>8</v>
      </c>
      <c r="P6" s="72" t="s">
        <v>9</v>
      </c>
      <c r="Q6" s="72" t="s">
        <v>8</v>
      </c>
      <c r="R6" s="72" t="s">
        <v>8</v>
      </c>
      <c r="S6" s="72" t="s">
        <v>9</v>
      </c>
      <c r="T6" s="72" t="s">
        <v>8</v>
      </c>
      <c r="U6" s="72" t="s">
        <v>8</v>
      </c>
      <c r="V6" s="72" t="s">
        <v>8</v>
      </c>
      <c r="W6" s="72" t="s">
        <v>9</v>
      </c>
      <c r="X6" s="72" t="s">
        <v>9</v>
      </c>
      <c r="Y6" s="72" t="s">
        <v>8</v>
      </c>
      <c r="Z6" s="72" t="s">
        <v>9</v>
      </c>
      <c r="AA6" s="72" t="s">
        <v>8</v>
      </c>
      <c r="AB6" s="72" t="s">
        <v>8</v>
      </c>
      <c r="AC6" s="72" t="s">
        <v>9</v>
      </c>
      <c r="AD6" s="72" t="s">
        <v>9</v>
      </c>
      <c r="AE6" s="72" t="s">
        <v>9</v>
      </c>
      <c r="AF6" s="72" t="s">
        <v>8</v>
      </c>
      <c r="AG6" s="72" t="s">
        <v>8</v>
      </c>
      <c r="AH6" s="72" t="s">
        <v>8</v>
      </c>
      <c r="AI6" s="13">
        <f>IF(COUNTA(D6:AH6)&gt;0,(COUNTA(D6:AH6)-COUNTIF(D6:AH6,"NB")-COUNTIF(D6:AH6,"DN")-COUNTIF(D6:AH6,"An")-COUNTIF(D6:AH6,"NB^")-COUNTIF(D6:AH6,0))/COUNTA(D6:AH6),"")</f>
        <v>1</v>
      </c>
    </row>
    <row r="7" spans="1:44" ht="15.75" customHeight="1" x14ac:dyDescent="0.25">
      <c r="A7" s="180" t="s">
        <v>10</v>
      </c>
      <c r="B7" s="181"/>
      <c r="C7" s="182"/>
      <c r="D7" s="73" t="s">
        <v>11</v>
      </c>
      <c r="E7" s="73" t="s">
        <v>11</v>
      </c>
      <c r="F7" s="73" t="s">
        <v>11</v>
      </c>
      <c r="G7" s="73" t="s">
        <v>11</v>
      </c>
      <c r="H7" s="73" t="s">
        <v>11</v>
      </c>
      <c r="I7" s="73" t="s">
        <v>11</v>
      </c>
      <c r="J7" s="73" t="s">
        <v>11</v>
      </c>
      <c r="K7" s="73" t="s">
        <v>11</v>
      </c>
      <c r="L7" s="73" t="s">
        <v>11</v>
      </c>
      <c r="M7" s="73" t="s">
        <v>11</v>
      </c>
      <c r="N7" s="73" t="s">
        <v>11</v>
      </c>
      <c r="O7" s="73" t="s">
        <v>11</v>
      </c>
      <c r="P7" s="73" t="s">
        <v>11</v>
      </c>
      <c r="Q7" s="73" t="s">
        <v>11</v>
      </c>
      <c r="R7" s="73" t="s">
        <v>11</v>
      </c>
      <c r="S7" s="73" t="s">
        <v>11</v>
      </c>
      <c r="T7" s="73" t="s">
        <v>11</v>
      </c>
      <c r="U7" s="73" t="s">
        <v>11</v>
      </c>
      <c r="V7" s="73" t="s">
        <v>11</v>
      </c>
      <c r="W7" s="73" t="s">
        <v>11</v>
      </c>
      <c r="X7" s="73" t="s">
        <v>11</v>
      </c>
      <c r="Y7" s="73" t="s">
        <v>11</v>
      </c>
      <c r="Z7" s="73" t="s">
        <v>11</v>
      </c>
      <c r="AA7" s="73" t="s">
        <v>11</v>
      </c>
      <c r="AB7" s="73" t="s">
        <v>11</v>
      </c>
      <c r="AC7" s="73" t="s">
        <v>11</v>
      </c>
      <c r="AD7" s="73" t="s">
        <v>11</v>
      </c>
      <c r="AE7" s="73" t="s">
        <v>11</v>
      </c>
      <c r="AF7" s="73" t="s">
        <v>11</v>
      </c>
      <c r="AG7" s="73" t="s">
        <v>11</v>
      </c>
      <c r="AH7" s="73" t="s">
        <v>11</v>
      </c>
      <c r="AI7" s="17">
        <f t="shared" ref="AI7:AI35" si="0">IF(COUNTA(D7:AH7)&gt;0,(COUNTA(D7:AH7)-COUNTIF(D7:AH7,"NB")-COUNTIF(D7:AH7,"DN")-COUNTIF(D7:AH7,"An")-COUNTIF(D7:AH7,"NB^")-COUNTIF(D7:AH7,0))/COUNTA(D7:AH7),"")</f>
        <v>1</v>
      </c>
    </row>
    <row r="8" spans="1:44" ht="15.75" customHeight="1" x14ac:dyDescent="0.25">
      <c r="A8" s="162" t="s">
        <v>93</v>
      </c>
      <c r="B8" s="163"/>
      <c r="C8" s="164"/>
      <c r="D8" s="18" t="s">
        <v>11</v>
      </c>
      <c r="E8" s="18" t="s">
        <v>11</v>
      </c>
      <c r="F8" s="18" t="s">
        <v>11</v>
      </c>
      <c r="G8" s="18" t="s">
        <v>11</v>
      </c>
      <c r="H8" s="18" t="s">
        <v>11</v>
      </c>
      <c r="I8" s="18" t="s">
        <v>11</v>
      </c>
      <c r="J8" s="18" t="s">
        <v>11</v>
      </c>
      <c r="K8" s="18" t="s">
        <v>11</v>
      </c>
      <c r="L8" s="18" t="s">
        <v>11</v>
      </c>
      <c r="M8" s="18" t="s">
        <v>11</v>
      </c>
      <c r="N8" s="18" t="s">
        <v>11</v>
      </c>
      <c r="O8" s="18" t="s">
        <v>11</v>
      </c>
      <c r="P8" s="18" t="s">
        <v>11</v>
      </c>
      <c r="Q8" s="18" t="s">
        <v>11</v>
      </c>
      <c r="R8" s="18" t="s">
        <v>11</v>
      </c>
      <c r="S8" s="18" t="s">
        <v>11</v>
      </c>
      <c r="T8" s="18" t="s">
        <v>11</v>
      </c>
      <c r="U8" s="18" t="s">
        <v>11</v>
      </c>
      <c r="V8" s="18" t="s">
        <v>11</v>
      </c>
      <c r="W8" s="18" t="s">
        <v>11</v>
      </c>
      <c r="X8" s="18" t="s">
        <v>11</v>
      </c>
      <c r="Y8" s="18" t="s">
        <v>11</v>
      </c>
      <c r="Z8" s="18" t="s">
        <v>11</v>
      </c>
      <c r="AA8" s="18" t="s">
        <v>11</v>
      </c>
      <c r="AB8" s="18" t="s">
        <v>11</v>
      </c>
      <c r="AC8" s="18" t="s">
        <v>11</v>
      </c>
      <c r="AD8" s="18" t="s">
        <v>11</v>
      </c>
      <c r="AE8" s="18" t="s">
        <v>11</v>
      </c>
      <c r="AF8" s="18" t="s">
        <v>11</v>
      </c>
      <c r="AG8" s="18" t="s">
        <v>11</v>
      </c>
      <c r="AH8" s="18" t="s">
        <v>11</v>
      </c>
      <c r="AI8" s="19">
        <f t="shared" si="0"/>
        <v>1</v>
      </c>
    </row>
    <row r="9" spans="1:44" ht="15.75" customHeight="1" x14ac:dyDescent="0.25">
      <c r="A9" s="174" t="s">
        <v>13</v>
      </c>
      <c r="B9" s="175"/>
      <c r="C9" s="176"/>
      <c r="D9" s="79" t="s">
        <v>11</v>
      </c>
      <c r="E9" s="79" t="s">
        <v>11</v>
      </c>
      <c r="F9" s="79" t="s">
        <v>11</v>
      </c>
      <c r="G9" s="79" t="s">
        <v>11</v>
      </c>
      <c r="H9" s="79" t="s">
        <v>11</v>
      </c>
      <c r="I9" s="79" t="s">
        <v>11</v>
      </c>
      <c r="J9" s="79" t="s">
        <v>11</v>
      </c>
      <c r="K9" s="79" t="s">
        <v>11</v>
      </c>
      <c r="L9" s="79" t="s">
        <v>11</v>
      </c>
      <c r="M9" s="79" t="s">
        <v>11</v>
      </c>
      <c r="N9" s="79" t="s">
        <v>11</v>
      </c>
      <c r="O9" s="79" t="s">
        <v>11</v>
      </c>
      <c r="P9" s="79" t="s">
        <v>11</v>
      </c>
      <c r="Q9" s="79" t="s">
        <v>11</v>
      </c>
      <c r="R9" s="79" t="s">
        <v>11</v>
      </c>
      <c r="S9" s="79" t="s">
        <v>11</v>
      </c>
      <c r="T9" s="79" t="s">
        <v>11</v>
      </c>
      <c r="U9" s="79" t="s">
        <v>11</v>
      </c>
      <c r="V9" s="79" t="s">
        <v>11</v>
      </c>
      <c r="W9" s="79" t="s">
        <v>11</v>
      </c>
      <c r="X9" s="79" t="s">
        <v>11</v>
      </c>
      <c r="Y9" s="79" t="s">
        <v>11</v>
      </c>
      <c r="Z9" s="79" t="s">
        <v>12</v>
      </c>
      <c r="AA9" s="79" t="s">
        <v>11</v>
      </c>
      <c r="AB9" s="79" t="s">
        <v>11</v>
      </c>
      <c r="AC9" s="79" t="s">
        <v>11</v>
      </c>
      <c r="AD9" s="79" t="s">
        <v>11</v>
      </c>
      <c r="AE9" s="79" t="s">
        <v>11</v>
      </c>
      <c r="AF9" s="79" t="s">
        <v>11</v>
      </c>
      <c r="AG9" s="79" t="s">
        <v>12</v>
      </c>
      <c r="AH9" s="79" t="s">
        <v>11</v>
      </c>
      <c r="AI9" s="13">
        <f t="shared" si="0"/>
        <v>0.93548387096774188</v>
      </c>
    </row>
    <row r="10" spans="1:44" ht="15.75" customHeight="1" x14ac:dyDescent="0.25">
      <c r="A10" s="177" t="s">
        <v>14</v>
      </c>
      <c r="B10" s="178"/>
      <c r="C10" s="179"/>
      <c r="D10" s="80" t="s">
        <v>11</v>
      </c>
      <c r="E10" s="80" t="s">
        <v>11</v>
      </c>
      <c r="F10" s="80" t="s">
        <v>11</v>
      </c>
      <c r="G10" s="80" t="s">
        <v>11</v>
      </c>
      <c r="H10" s="80" t="s">
        <v>11</v>
      </c>
      <c r="I10" s="80" t="s">
        <v>11</v>
      </c>
      <c r="J10" s="80" t="s">
        <v>11</v>
      </c>
      <c r="K10" s="80" t="s">
        <v>11</v>
      </c>
      <c r="L10" s="80" t="s">
        <v>11</v>
      </c>
      <c r="M10" s="80" t="s">
        <v>11</v>
      </c>
      <c r="N10" s="80" t="s">
        <v>11</v>
      </c>
      <c r="O10" s="80" t="s">
        <v>11</v>
      </c>
      <c r="P10" s="80" t="s">
        <v>11</v>
      </c>
      <c r="Q10" s="80" t="s">
        <v>11</v>
      </c>
      <c r="R10" s="80" t="s">
        <v>11</v>
      </c>
      <c r="S10" s="80" t="s">
        <v>11</v>
      </c>
      <c r="T10" s="80" t="s">
        <v>11</v>
      </c>
      <c r="U10" s="80" t="s">
        <v>11</v>
      </c>
      <c r="V10" s="80" t="s">
        <v>11</v>
      </c>
      <c r="W10" s="80" t="s">
        <v>11</v>
      </c>
      <c r="X10" s="80" t="s">
        <v>11</v>
      </c>
      <c r="Y10" s="80" t="s">
        <v>11</v>
      </c>
      <c r="Z10" s="80" t="s">
        <v>12</v>
      </c>
      <c r="AA10" s="80" t="s">
        <v>11</v>
      </c>
      <c r="AB10" s="80" t="s">
        <v>11</v>
      </c>
      <c r="AC10" s="80" t="s">
        <v>11</v>
      </c>
      <c r="AD10" s="80" t="s">
        <v>11</v>
      </c>
      <c r="AE10" s="80" t="s">
        <v>11</v>
      </c>
      <c r="AF10" s="80" t="s">
        <v>11</v>
      </c>
      <c r="AG10" s="80" t="s">
        <v>12</v>
      </c>
      <c r="AH10" s="80" t="s">
        <v>11</v>
      </c>
      <c r="AI10" s="21">
        <f t="shared" si="0"/>
        <v>0.93548387096774188</v>
      </c>
    </row>
    <row r="11" spans="1:44" ht="15.75" customHeight="1" x14ac:dyDescent="0.25">
      <c r="A11" s="177" t="s">
        <v>15</v>
      </c>
      <c r="B11" s="178"/>
      <c r="C11" s="179"/>
      <c r="D11" s="80" t="s">
        <v>11</v>
      </c>
      <c r="E11" s="80" t="s">
        <v>11</v>
      </c>
      <c r="F11" s="80" t="s">
        <v>11</v>
      </c>
      <c r="G11" s="80" t="s">
        <v>11</v>
      </c>
      <c r="H11" s="80" t="s">
        <v>11</v>
      </c>
      <c r="I11" s="80" t="s">
        <v>11</v>
      </c>
      <c r="J11" s="80" t="s">
        <v>11</v>
      </c>
      <c r="K11" s="80" t="s">
        <v>11</v>
      </c>
      <c r="L11" s="80" t="s">
        <v>11</v>
      </c>
      <c r="M11" s="80" t="s">
        <v>11</v>
      </c>
      <c r="N11" s="80" t="s">
        <v>11</v>
      </c>
      <c r="O11" s="80" t="s">
        <v>11</v>
      </c>
      <c r="P11" s="80" t="s">
        <v>11</v>
      </c>
      <c r="Q11" s="80" t="s">
        <v>11</v>
      </c>
      <c r="R11" s="80" t="s">
        <v>11</v>
      </c>
      <c r="S11" s="80" t="s">
        <v>11</v>
      </c>
      <c r="T11" s="80" t="s">
        <v>11</v>
      </c>
      <c r="U11" s="80" t="s">
        <v>11</v>
      </c>
      <c r="V11" s="80" t="s">
        <v>11</v>
      </c>
      <c r="W11" s="80" t="s">
        <v>11</v>
      </c>
      <c r="X11" s="80" t="s">
        <v>11</v>
      </c>
      <c r="Y11" s="80" t="s">
        <v>11</v>
      </c>
      <c r="Z11" s="80" t="s">
        <v>12</v>
      </c>
      <c r="AA11" s="80" t="s">
        <v>11</v>
      </c>
      <c r="AB11" s="80" t="s">
        <v>11</v>
      </c>
      <c r="AC11" s="80" t="s">
        <v>11</v>
      </c>
      <c r="AD11" s="80" t="s">
        <v>11</v>
      </c>
      <c r="AE11" s="80" t="s">
        <v>11</v>
      </c>
      <c r="AF11" s="80" t="s">
        <v>11</v>
      </c>
      <c r="AG11" s="80" t="s">
        <v>12</v>
      </c>
      <c r="AH11" s="80" t="s">
        <v>11</v>
      </c>
      <c r="AI11" s="21">
        <f t="shared" si="0"/>
        <v>0.93548387096774188</v>
      </c>
    </row>
    <row r="12" spans="1:44" ht="15.75" customHeight="1" x14ac:dyDescent="0.25">
      <c r="A12" s="177" t="s">
        <v>16</v>
      </c>
      <c r="B12" s="178"/>
      <c r="C12" s="179"/>
      <c r="D12" s="80" t="s">
        <v>11</v>
      </c>
      <c r="E12" s="80" t="s">
        <v>11</v>
      </c>
      <c r="F12" s="80" t="s">
        <v>11</v>
      </c>
      <c r="G12" s="80" t="s">
        <v>11</v>
      </c>
      <c r="H12" s="80" t="s">
        <v>11</v>
      </c>
      <c r="I12" s="80" t="s">
        <v>11</v>
      </c>
      <c r="J12" s="80" t="s">
        <v>11</v>
      </c>
      <c r="K12" s="80" t="s">
        <v>11</v>
      </c>
      <c r="L12" s="80" t="s">
        <v>11</v>
      </c>
      <c r="M12" s="80" t="s">
        <v>11</v>
      </c>
      <c r="N12" s="80" t="s">
        <v>11</v>
      </c>
      <c r="O12" s="80" t="s">
        <v>11</v>
      </c>
      <c r="P12" s="80" t="s">
        <v>11</v>
      </c>
      <c r="Q12" s="80" t="s">
        <v>11</v>
      </c>
      <c r="R12" s="80" t="s">
        <v>11</v>
      </c>
      <c r="S12" s="80" t="s">
        <v>11</v>
      </c>
      <c r="T12" s="80" t="s">
        <v>11</v>
      </c>
      <c r="U12" s="80" t="s">
        <v>11</v>
      </c>
      <c r="V12" s="80" t="s">
        <v>11</v>
      </c>
      <c r="W12" s="80" t="s">
        <v>11</v>
      </c>
      <c r="X12" s="80" t="s">
        <v>11</v>
      </c>
      <c r="Y12" s="80" t="s">
        <v>11</v>
      </c>
      <c r="Z12" s="80" t="s">
        <v>12</v>
      </c>
      <c r="AA12" s="80" t="s">
        <v>11</v>
      </c>
      <c r="AB12" s="80" t="s">
        <v>11</v>
      </c>
      <c r="AC12" s="80" t="s">
        <v>11</v>
      </c>
      <c r="AD12" s="80" t="s">
        <v>11</v>
      </c>
      <c r="AE12" s="80" t="s">
        <v>11</v>
      </c>
      <c r="AF12" s="80" t="s">
        <v>11</v>
      </c>
      <c r="AG12" s="80" t="s">
        <v>12</v>
      </c>
      <c r="AH12" s="80" t="s">
        <v>11</v>
      </c>
      <c r="AI12" s="21">
        <f t="shared" si="0"/>
        <v>0.93548387096774188</v>
      </c>
    </row>
    <row r="13" spans="1:44" ht="15.75" customHeight="1" x14ac:dyDescent="0.25">
      <c r="A13" s="177" t="s">
        <v>17</v>
      </c>
      <c r="B13" s="178"/>
      <c r="C13" s="179"/>
      <c r="D13" s="80" t="s">
        <v>11</v>
      </c>
      <c r="E13" s="80" t="s">
        <v>11</v>
      </c>
      <c r="F13" s="80" t="s">
        <v>11</v>
      </c>
      <c r="G13" s="80" t="s">
        <v>11</v>
      </c>
      <c r="H13" s="80" t="s">
        <v>11</v>
      </c>
      <c r="I13" s="80" t="s">
        <v>11</v>
      </c>
      <c r="J13" s="80" t="s">
        <v>11</v>
      </c>
      <c r="K13" s="80" t="s">
        <v>12</v>
      </c>
      <c r="L13" s="80" t="s">
        <v>11</v>
      </c>
      <c r="M13" s="80" t="s">
        <v>11</v>
      </c>
      <c r="N13" s="80" t="s">
        <v>11</v>
      </c>
      <c r="O13" s="80" t="s">
        <v>11</v>
      </c>
      <c r="P13" s="80" t="s">
        <v>11</v>
      </c>
      <c r="Q13" s="80" t="s">
        <v>11</v>
      </c>
      <c r="R13" s="80" t="s">
        <v>11</v>
      </c>
      <c r="S13" s="80" t="s">
        <v>11</v>
      </c>
      <c r="T13" s="80" t="s">
        <v>11</v>
      </c>
      <c r="U13" s="80" t="s">
        <v>11</v>
      </c>
      <c r="V13" s="80" t="s">
        <v>11</v>
      </c>
      <c r="W13" s="80" t="s">
        <v>11</v>
      </c>
      <c r="X13" s="80" t="s">
        <v>11</v>
      </c>
      <c r="Y13" s="80" t="s">
        <v>11</v>
      </c>
      <c r="Z13" s="80" t="s">
        <v>12</v>
      </c>
      <c r="AA13" s="80" t="s">
        <v>11</v>
      </c>
      <c r="AB13" s="80" t="s">
        <v>11</v>
      </c>
      <c r="AC13" s="80" t="s">
        <v>11</v>
      </c>
      <c r="AD13" s="80" t="s">
        <v>11</v>
      </c>
      <c r="AE13" s="80" t="s">
        <v>11</v>
      </c>
      <c r="AF13" s="80" t="s">
        <v>11</v>
      </c>
      <c r="AG13" s="80" t="s">
        <v>12</v>
      </c>
      <c r="AH13" s="80" t="s">
        <v>11</v>
      </c>
      <c r="AI13" s="21">
        <f t="shared" si="0"/>
        <v>0.90322580645161288</v>
      </c>
    </row>
    <row r="14" spans="1:44" ht="15.75" customHeight="1" x14ac:dyDescent="0.25">
      <c r="A14" s="180" t="s">
        <v>18</v>
      </c>
      <c r="B14" s="181"/>
      <c r="C14" s="182"/>
      <c r="D14" s="73" t="s">
        <v>11</v>
      </c>
      <c r="E14" s="73" t="s">
        <v>11</v>
      </c>
      <c r="F14" s="73" t="s">
        <v>11</v>
      </c>
      <c r="G14" s="73" t="s">
        <v>11</v>
      </c>
      <c r="H14" s="73" t="s">
        <v>11</v>
      </c>
      <c r="I14" s="73" t="s">
        <v>11</v>
      </c>
      <c r="J14" s="73" t="s">
        <v>11</v>
      </c>
      <c r="K14" s="73" t="s">
        <v>12</v>
      </c>
      <c r="L14" s="73" t="s">
        <v>11</v>
      </c>
      <c r="M14" s="73" t="s">
        <v>11</v>
      </c>
      <c r="N14" s="73" t="s">
        <v>11</v>
      </c>
      <c r="O14" s="73" t="s">
        <v>11</v>
      </c>
      <c r="P14" s="73" t="s">
        <v>11</v>
      </c>
      <c r="Q14" s="73" t="s">
        <v>11</v>
      </c>
      <c r="R14" s="73" t="s">
        <v>11</v>
      </c>
      <c r="S14" s="73" t="s">
        <v>11</v>
      </c>
      <c r="T14" s="73" t="s">
        <v>11</v>
      </c>
      <c r="U14" s="73" t="s">
        <v>11</v>
      </c>
      <c r="V14" s="73" t="s">
        <v>11</v>
      </c>
      <c r="W14" s="73" t="s">
        <v>11</v>
      </c>
      <c r="X14" s="73" t="s">
        <v>11</v>
      </c>
      <c r="Y14" s="73" t="s">
        <v>11</v>
      </c>
      <c r="Z14" s="73" t="s">
        <v>12</v>
      </c>
      <c r="AA14" s="73" t="s">
        <v>11</v>
      </c>
      <c r="AB14" s="73" t="s">
        <v>11</v>
      </c>
      <c r="AC14" s="73" t="s">
        <v>11</v>
      </c>
      <c r="AD14" s="73" t="s">
        <v>11</v>
      </c>
      <c r="AE14" s="73" t="s">
        <v>11</v>
      </c>
      <c r="AF14" s="73" t="s">
        <v>11</v>
      </c>
      <c r="AG14" s="73" t="s">
        <v>12</v>
      </c>
      <c r="AH14" s="73" t="s">
        <v>11</v>
      </c>
      <c r="AI14" s="17">
        <f t="shared" si="0"/>
        <v>0.90322580645161288</v>
      </c>
    </row>
    <row r="15" spans="1:44" ht="15.75" customHeight="1" x14ac:dyDescent="0.25">
      <c r="A15" s="174" t="s">
        <v>19</v>
      </c>
      <c r="B15" s="175"/>
      <c r="C15" s="176"/>
      <c r="D15" s="124" t="s">
        <v>11</v>
      </c>
      <c r="E15" s="124" t="s">
        <v>11</v>
      </c>
      <c r="F15" s="124" t="s">
        <v>11</v>
      </c>
      <c r="G15" s="124" t="s">
        <v>11</v>
      </c>
      <c r="H15" s="124" t="s">
        <v>11</v>
      </c>
      <c r="I15" s="124" t="s">
        <v>11</v>
      </c>
      <c r="J15" s="124" t="s">
        <v>11</v>
      </c>
      <c r="K15" s="124" t="s">
        <v>11</v>
      </c>
      <c r="L15" s="124" t="s">
        <v>11</v>
      </c>
      <c r="M15" s="124" t="s">
        <v>11</v>
      </c>
      <c r="N15" s="124" t="s">
        <v>11</v>
      </c>
      <c r="O15" s="124" t="s">
        <v>11</v>
      </c>
      <c r="P15" s="124" t="s">
        <v>11</v>
      </c>
      <c r="Q15" s="124" t="s">
        <v>11</v>
      </c>
      <c r="R15" s="124" t="s">
        <v>11</v>
      </c>
      <c r="S15" s="124" t="s">
        <v>11</v>
      </c>
      <c r="T15" s="124" t="s">
        <v>11</v>
      </c>
      <c r="U15" s="124" t="s">
        <v>11</v>
      </c>
      <c r="V15" s="124" t="s">
        <v>11</v>
      </c>
      <c r="W15" s="124" t="s">
        <v>11</v>
      </c>
      <c r="X15" s="124" t="s">
        <v>11</v>
      </c>
      <c r="Y15" s="124" t="s">
        <v>11</v>
      </c>
      <c r="Z15" s="124" t="s">
        <v>11</v>
      </c>
      <c r="AA15" s="124" t="s">
        <v>11</v>
      </c>
      <c r="AB15" s="124" t="s">
        <v>11</v>
      </c>
      <c r="AC15" s="124" t="s">
        <v>11</v>
      </c>
      <c r="AD15" s="124" t="s">
        <v>11</v>
      </c>
      <c r="AE15" s="124" t="s">
        <v>11</v>
      </c>
      <c r="AF15" s="124" t="s">
        <v>11</v>
      </c>
      <c r="AG15" s="124" t="s">
        <v>11</v>
      </c>
      <c r="AH15" s="124" t="s">
        <v>11</v>
      </c>
      <c r="AI15" s="13">
        <f t="shared" si="0"/>
        <v>1</v>
      </c>
    </row>
    <row r="16" spans="1:44" ht="15.75" customHeight="1" x14ac:dyDescent="0.25">
      <c r="A16" s="177" t="s">
        <v>20</v>
      </c>
      <c r="B16" s="178"/>
      <c r="C16" s="179"/>
      <c r="D16" s="123" t="s">
        <v>11</v>
      </c>
      <c r="E16" s="123" t="s">
        <v>11</v>
      </c>
      <c r="F16" s="123" t="s">
        <v>11</v>
      </c>
      <c r="G16" s="123" t="s">
        <v>11</v>
      </c>
      <c r="H16" s="123" t="s">
        <v>11</v>
      </c>
      <c r="I16" s="123" t="s">
        <v>11</v>
      </c>
      <c r="J16" s="123" t="s">
        <v>11</v>
      </c>
      <c r="K16" s="123" t="s">
        <v>11</v>
      </c>
      <c r="L16" s="123" t="s">
        <v>11</v>
      </c>
      <c r="M16" s="123" t="s">
        <v>11</v>
      </c>
      <c r="N16" s="123" t="s">
        <v>11</v>
      </c>
      <c r="O16" s="123" t="s">
        <v>11</v>
      </c>
      <c r="P16" s="123" t="s">
        <v>11</v>
      </c>
      <c r="Q16" s="123" t="s">
        <v>11</v>
      </c>
      <c r="R16" s="123" t="s">
        <v>11</v>
      </c>
      <c r="S16" s="123" t="s">
        <v>11</v>
      </c>
      <c r="T16" s="123" t="s">
        <v>11</v>
      </c>
      <c r="U16" s="123" t="s">
        <v>11</v>
      </c>
      <c r="V16" s="123" t="s">
        <v>11</v>
      </c>
      <c r="W16" s="123" t="s">
        <v>11</v>
      </c>
      <c r="X16" s="123" t="s">
        <v>11</v>
      </c>
      <c r="Y16" s="123" t="s">
        <v>11</v>
      </c>
      <c r="Z16" s="123" t="s">
        <v>11</v>
      </c>
      <c r="AA16" s="123" t="s">
        <v>11</v>
      </c>
      <c r="AB16" s="123" t="s">
        <v>11</v>
      </c>
      <c r="AC16" s="123" t="s">
        <v>11</v>
      </c>
      <c r="AD16" s="123" t="s">
        <v>11</v>
      </c>
      <c r="AE16" s="123" t="s">
        <v>11</v>
      </c>
      <c r="AF16" s="123" t="s">
        <v>11</v>
      </c>
      <c r="AG16" s="123" t="s">
        <v>11</v>
      </c>
      <c r="AH16" s="123" t="s">
        <v>11</v>
      </c>
      <c r="AI16" s="21">
        <f t="shared" si="0"/>
        <v>1</v>
      </c>
    </row>
    <row r="17" spans="1:35" ht="15.75" customHeight="1" x14ac:dyDescent="0.25">
      <c r="A17" s="180" t="s">
        <v>92</v>
      </c>
      <c r="B17" s="181"/>
      <c r="C17" s="182"/>
      <c r="D17" s="123" t="s">
        <v>11</v>
      </c>
      <c r="E17" s="123" t="s">
        <v>11</v>
      </c>
      <c r="F17" s="123" t="s">
        <v>11</v>
      </c>
      <c r="G17" s="123" t="s">
        <v>11</v>
      </c>
      <c r="H17" s="123" t="s">
        <v>11</v>
      </c>
      <c r="I17" s="123" t="s">
        <v>11</v>
      </c>
      <c r="J17" s="123" t="s">
        <v>11</v>
      </c>
      <c r="K17" s="123" t="s">
        <v>11</v>
      </c>
      <c r="L17" s="123" t="s">
        <v>11</v>
      </c>
      <c r="M17" s="123" t="s">
        <v>11</v>
      </c>
      <c r="N17" s="123" t="s">
        <v>11</v>
      </c>
      <c r="O17" s="123" t="s">
        <v>11</v>
      </c>
      <c r="P17" s="123" t="s">
        <v>11</v>
      </c>
      <c r="Q17" s="123" t="s">
        <v>11</v>
      </c>
      <c r="R17" s="123" t="s">
        <v>11</v>
      </c>
      <c r="S17" s="123" t="s">
        <v>11</v>
      </c>
      <c r="T17" s="123" t="s">
        <v>11</v>
      </c>
      <c r="U17" s="123" t="s">
        <v>11</v>
      </c>
      <c r="V17" s="123" t="s">
        <v>11</v>
      </c>
      <c r="W17" s="123" t="s">
        <v>11</v>
      </c>
      <c r="X17" s="123" t="s">
        <v>11</v>
      </c>
      <c r="Y17" s="123" t="s">
        <v>11</v>
      </c>
      <c r="Z17" s="123" t="s">
        <v>11</v>
      </c>
      <c r="AA17" s="123" t="s">
        <v>11</v>
      </c>
      <c r="AB17" s="123" t="s">
        <v>11</v>
      </c>
      <c r="AC17" s="123" t="s">
        <v>11</v>
      </c>
      <c r="AD17" s="123" t="s">
        <v>11</v>
      </c>
      <c r="AE17" s="123" t="s">
        <v>11</v>
      </c>
      <c r="AF17" s="123" t="s">
        <v>11</v>
      </c>
      <c r="AG17" s="123" t="s">
        <v>11</v>
      </c>
      <c r="AH17" s="123" t="s">
        <v>11</v>
      </c>
      <c r="AI17" s="17">
        <f t="shared" si="0"/>
        <v>1</v>
      </c>
    </row>
    <row r="18" spans="1:35" ht="15.75" customHeight="1" x14ac:dyDescent="0.25">
      <c r="A18" s="174" t="s">
        <v>21</v>
      </c>
      <c r="B18" s="175"/>
      <c r="C18" s="176"/>
      <c r="D18" s="124" t="s">
        <v>11</v>
      </c>
      <c r="E18" s="124" t="s">
        <v>11</v>
      </c>
      <c r="F18" s="124" t="s">
        <v>11</v>
      </c>
      <c r="G18" s="124" t="s">
        <v>11</v>
      </c>
      <c r="H18" s="124" t="s">
        <v>11</v>
      </c>
      <c r="I18" s="124" t="s">
        <v>11</v>
      </c>
      <c r="J18" s="124" t="s">
        <v>11</v>
      </c>
      <c r="K18" s="124" t="s">
        <v>11</v>
      </c>
      <c r="L18" s="124" t="s">
        <v>11</v>
      </c>
      <c r="M18" s="124" t="s">
        <v>11</v>
      </c>
      <c r="N18" s="124" t="s">
        <v>11</v>
      </c>
      <c r="O18" s="124" t="s">
        <v>11</v>
      </c>
      <c r="P18" s="124" t="s">
        <v>11</v>
      </c>
      <c r="Q18" s="124" t="s">
        <v>11</v>
      </c>
      <c r="R18" s="124" t="s">
        <v>11</v>
      </c>
      <c r="S18" s="124" t="s">
        <v>11</v>
      </c>
      <c r="T18" s="124" t="s">
        <v>11</v>
      </c>
      <c r="U18" s="124" t="s">
        <v>11</v>
      </c>
      <c r="V18" s="124" t="s">
        <v>11</v>
      </c>
      <c r="W18" s="124" t="s">
        <v>11</v>
      </c>
      <c r="X18" s="124" t="s">
        <v>11</v>
      </c>
      <c r="Y18" s="124" t="s">
        <v>11</v>
      </c>
      <c r="Z18" s="124" t="s">
        <v>11</v>
      </c>
      <c r="AA18" s="124" t="s">
        <v>11</v>
      </c>
      <c r="AB18" s="124" t="s">
        <v>11</v>
      </c>
      <c r="AC18" s="124" t="s">
        <v>11</v>
      </c>
      <c r="AD18" s="124" t="s">
        <v>11</v>
      </c>
      <c r="AE18" s="124" t="s">
        <v>11</v>
      </c>
      <c r="AF18" s="124" t="s">
        <v>11</v>
      </c>
      <c r="AG18" s="124" t="s">
        <v>11</v>
      </c>
      <c r="AH18" s="124" t="s">
        <v>11</v>
      </c>
      <c r="AI18" s="13">
        <f t="shared" si="0"/>
        <v>1</v>
      </c>
    </row>
    <row r="19" spans="1:35" ht="15.75" customHeight="1" x14ac:dyDescent="0.25">
      <c r="A19" s="177" t="s">
        <v>23</v>
      </c>
      <c r="B19" s="178"/>
      <c r="C19" s="179"/>
      <c r="D19" s="123" t="s">
        <v>11</v>
      </c>
      <c r="E19" s="123" t="s">
        <v>11</v>
      </c>
      <c r="F19" s="123" t="s">
        <v>11</v>
      </c>
      <c r="G19" s="123" t="s">
        <v>11</v>
      </c>
      <c r="H19" s="123" t="s">
        <v>11</v>
      </c>
      <c r="I19" s="123" t="s">
        <v>11</v>
      </c>
      <c r="J19" s="123" t="s">
        <v>11</v>
      </c>
      <c r="K19" s="123" t="s">
        <v>11</v>
      </c>
      <c r="L19" s="123" t="s">
        <v>11</v>
      </c>
      <c r="M19" s="123" t="s">
        <v>11</v>
      </c>
      <c r="N19" s="123" t="s">
        <v>11</v>
      </c>
      <c r="O19" s="123" t="s">
        <v>11</v>
      </c>
      <c r="P19" s="123" t="s">
        <v>11</v>
      </c>
      <c r="Q19" s="123" t="s">
        <v>11</v>
      </c>
      <c r="R19" s="123" t="s">
        <v>11</v>
      </c>
      <c r="S19" s="123" t="s">
        <v>11</v>
      </c>
      <c r="T19" s="123" t="s">
        <v>11</v>
      </c>
      <c r="U19" s="123" t="s">
        <v>11</v>
      </c>
      <c r="V19" s="123" t="s">
        <v>11</v>
      </c>
      <c r="W19" s="123" t="s">
        <v>11</v>
      </c>
      <c r="X19" s="123" t="s">
        <v>11</v>
      </c>
      <c r="Y19" s="123" t="s">
        <v>11</v>
      </c>
      <c r="Z19" s="123" t="s">
        <v>11</v>
      </c>
      <c r="AA19" s="123" t="s">
        <v>11</v>
      </c>
      <c r="AB19" s="123" t="s">
        <v>11</v>
      </c>
      <c r="AC19" s="123" t="s">
        <v>11</v>
      </c>
      <c r="AD19" s="123" t="s">
        <v>11</v>
      </c>
      <c r="AE19" s="123" t="s">
        <v>11</v>
      </c>
      <c r="AF19" s="123" t="s">
        <v>11</v>
      </c>
      <c r="AG19" s="123" t="s">
        <v>11</v>
      </c>
      <c r="AH19" s="123" t="s">
        <v>11</v>
      </c>
      <c r="AI19" s="21">
        <f t="shared" si="0"/>
        <v>1</v>
      </c>
    </row>
    <row r="20" spans="1:35" ht="15.75" customHeight="1" x14ac:dyDescent="0.25">
      <c r="A20" s="177" t="s">
        <v>24</v>
      </c>
      <c r="B20" s="178"/>
      <c r="C20" s="179"/>
      <c r="D20" s="123" t="s">
        <v>11</v>
      </c>
      <c r="E20" s="123" t="s">
        <v>11</v>
      </c>
      <c r="F20" s="123" t="s">
        <v>11</v>
      </c>
      <c r="G20" s="123" t="s">
        <v>11</v>
      </c>
      <c r="H20" s="123" t="s">
        <v>11</v>
      </c>
      <c r="I20" s="123" t="s">
        <v>11</v>
      </c>
      <c r="J20" s="123" t="s">
        <v>11</v>
      </c>
      <c r="K20" s="123" t="s">
        <v>11</v>
      </c>
      <c r="L20" s="123" t="s">
        <v>11</v>
      </c>
      <c r="M20" s="123" t="s">
        <v>11</v>
      </c>
      <c r="N20" s="123" t="s">
        <v>11</v>
      </c>
      <c r="O20" s="123" t="s">
        <v>11</v>
      </c>
      <c r="P20" s="123" t="s">
        <v>11</v>
      </c>
      <c r="Q20" s="123" t="s">
        <v>11</v>
      </c>
      <c r="R20" s="123" t="s">
        <v>11</v>
      </c>
      <c r="S20" s="123" t="s">
        <v>11</v>
      </c>
      <c r="T20" s="123" t="s">
        <v>11</v>
      </c>
      <c r="U20" s="123" t="s">
        <v>11</v>
      </c>
      <c r="V20" s="123" t="s">
        <v>11</v>
      </c>
      <c r="W20" s="123" t="s">
        <v>11</v>
      </c>
      <c r="X20" s="123" t="s">
        <v>11</v>
      </c>
      <c r="Y20" s="123" t="s">
        <v>11</v>
      </c>
      <c r="Z20" s="123" t="s">
        <v>11</v>
      </c>
      <c r="AA20" s="123" t="s">
        <v>11</v>
      </c>
      <c r="AB20" s="123" t="s">
        <v>11</v>
      </c>
      <c r="AC20" s="123" t="s">
        <v>11</v>
      </c>
      <c r="AD20" s="123" t="s">
        <v>11</v>
      </c>
      <c r="AE20" s="123" t="s">
        <v>11</v>
      </c>
      <c r="AF20" s="123" t="s">
        <v>11</v>
      </c>
      <c r="AG20" s="123" t="s">
        <v>11</v>
      </c>
      <c r="AH20" s="123" t="s">
        <v>11</v>
      </c>
      <c r="AI20" s="21">
        <f t="shared" si="0"/>
        <v>1</v>
      </c>
    </row>
    <row r="21" spans="1:35" ht="15.75" customHeight="1" x14ac:dyDescent="0.25">
      <c r="A21" s="180" t="s">
        <v>25</v>
      </c>
      <c r="B21" s="181"/>
      <c r="C21" s="182"/>
      <c r="D21" s="125" t="s">
        <v>11</v>
      </c>
      <c r="E21" s="125" t="s">
        <v>11</v>
      </c>
      <c r="F21" s="125" t="s">
        <v>11</v>
      </c>
      <c r="G21" s="125" t="s">
        <v>11</v>
      </c>
      <c r="H21" s="125" t="s">
        <v>11</v>
      </c>
      <c r="I21" s="125" t="s">
        <v>11</v>
      </c>
      <c r="J21" s="125" t="s">
        <v>11</v>
      </c>
      <c r="K21" s="125" t="s">
        <v>11</v>
      </c>
      <c r="L21" s="125" t="s">
        <v>11</v>
      </c>
      <c r="M21" s="125" t="s">
        <v>11</v>
      </c>
      <c r="N21" s="125" t="s">
        <v>11</v>
      </c>
      <c r="O21" s="125" t="s">
        <v>11</v>
      </c>
      <c r="P21" s="125" t="s">
        <v>11</v>
      </c>
      <c r="Q21" s="125" t="s">
        <v>11</v>
      </c>
      <c r="R21" s="125" t="s">
        <v>11</v>
      </c>
      <c r="S21" s="125" t="s">
        <v>11</v>
      </c>
      <c r="T21" s="125" t="s">
        <v>11</v>
      </c>
      <c r="U21" s="125" t="s">
        <v>11</v>
      </c>
      <c r="V21" s="125" t="s">
        <v>11</v>
      </c>
      <c r="W21" s="125" t="s">
        <v>11</v>
      </c>
      <c r="X21" s="125" t="s">
        <v>11</v>
      </c>
      <c r="Y21" s="125" t="s">
        <v>11</v>
      </c>
      <c r="Z21" s="125" t="s">
        <v>11</v>
      </c>
      <c r="AA21" s="125" t="s">
        <v>11</v>
      </c>
      <c r="AB21" s="125" t="s">
        <v>11</v>
      </c>
      <c r="AC21" s="125" t="s">
        <v>11</v>
      </c>
      <c r="AD21" s="125" t="s">
        <v>11</v>
      </c>
      <c r="AE21" s="125" t="s">
        <v>11</v>
      </c>
      <c r="AF21" s="125" t="s">
        <v>11</v>
      </c>
      <c r="AG21" s="125" t="s">
        <v>11</v>
      </c>
      <c r="AH21" s="125" t="s">
        <v>11</v>
      </c>
      <c r="AI21" s="17">
        <f t="shared" si="0"/>
        <v>1</v>
      </c>
    </row>
    <row r="22" spans="1:35" ht="15.75" customHeight="1" x14ac:dyDescent="0.25">
      <c r="A22" s="162" t="s">
        <v>26</v>
      </c>
      <c r="B22" s="163"/>
      <c r="C22" s="164"/>
      <c r="D22" s="81" t="s">
        <v>11</v>
      </c>
      <c r="E22" s="81" t="s">
        <v>11</v>
      </c>
      <c r="F22" s="81" t="s">
        <v>11</v>
      </c>
      <c r="G22" s="81" t="s">
        <v>11</v>
      </c>
      <c r="H22" s="81" t="s">
        <v>11</v>
      </c>
      <c r="I22" s="81" t="s">
        <v>11</v>
      </c>
      <c r="J22" s="81" t="s">
        <v>11</v>
      </c>
      <c r="K22" s="81" t="s">
        <v>11</v>
      </c>
      <c r="L22" s="81" t="s">
        <v>11</v>
      </c>
      <c r="M22" s="81" t="s">
        <v>11</v>
      </c>
      <c r="N22" s="81" t="s">
        <v>11</v>
      </c>
      <c r="O22" s="81" t="s">
        <v>11</v>
      </c>
      <c r="P22" s="81" t="s">
        <v>11</v>
      </c>
      <c r="Q22" s="81" t="s">
        <v>11</v>
      </c>
      <c r="R22" s="81" t="s">
        <v>11</v>
      </c>
      <c r="S22" s="81" t="s">
        <v>11</v>
      </c>
      <c r="T22" s="81" t="s">
        <v>11</v>
      </c>
      <c r="U22" s="81" t="s">
        <v>11</v>
      </c>
      <c r="V22" s="81" t="s">
        <v>11</v>
      </c>
      <c r="W22" s="81" t="s">
        <v>11</v>
      </c>
      <c r="X22" s="81" t="s">
        <v>11</v>
      </c>
      <c r="Y22" s="24" t="s">
        <v>11</v>
      </c>
      <c r="Z22" s="24" t="s">
        <v>11</v>
      </c>
      <c r="AA22" s="24" t="s">
        <v>11</v>
      </c>
      <c r="AB22" s="24" t="s">
        <v>11</v>
      </c>
      <c r="AC22" s="24" t="s">
        <v>11</v>
      </c>
      <c r="AD22" s="24" t="s">
        <v>11</v>
      </c>
      <c r="AE22" s="24" t="s">
        <v>11</v>
      </c>
      <c r="AF22" s="24" t="s">
        <v>11</v>
      </c>
      <c r="AG22" s="24" t="s">
        <v>11</v>
      </c>
      <c r="AH22" s="24" t="s">
        <v>11</v>
      </c>
      <c r="AI22" s="19">
        <f t="shared" si="0"/>
        <v>1</v>
      </c>
    </row>
    <row r="23" spans="1:35" ht="15.75" customHeight="1" x14ac:dyDescent="0.25">
      <c r="A23" s="174" t="s">
        <v>27</v>
      </c>
      <c r="B23" s="175"/>
      <c r="C23" s="176"/>
      <c r="D23" s="124" t="s">
        <v>11</v>
      </c>
      <c r="E23" s="124" t="s">
        <v>11</v>
      </c>
      <c r="F23" s="124" t="s">
        <v>11</v>
      </c>
      <c r="G23" s="124" t="s">
        <v>11</v>
      </c>
      <c r="H23" s="124" t="s">
        <v>11</v>
      </c>
      <c r="I23" s="124" t="s">
        <v>11</v>
      </c>
      <c r="J23" s="124" t="s">
        <v>11</v>
      </c>
      <c r="K23" s="124" t="s">
        <v>11</v>
      </c>
      <c r="L23" s="124" t="s">
        <v>11</v>
      </c>
      <c r="M23" s="124" t="s">
        <v>11</v>
      </c>
      <c r="N23" s="124" t="s">
        <v>11</v>
      </c>
      <c r="O23" s="124" t="s">
        <v>11</v>
      </c>
      <c r="P23" s="124" t="s">
        <v>11</v>
      </c>
      <c r="Q23" s="124" t="s">
        <v>11</v>
      </c>
      <c r="R23" s="124" t="s">
        <v>11</v>
      </c>
      <c r="S23" s="124" t="s">
        <v>11</v>
      </c>
      <c r="T23" s="124" t="s">
        <v>11</v>
      </c>
      <c r="U23" s="124" t="s">
        <v>11</v>
      </c>
      <c r="V23" s="124" t="s">
        <v>11</v>
      </c>
      <c r="W23" s="124" t="s">
        <v>11</v>
      </c>
      <c r="X23" s="124" t="s">
        <v>11</v>
      </c>
      <c r="Y23" s="124" t="s">
        <v>11</v>
      </c>
      <c r="Z23" s="22" t="s">
        <v>11</v>
      </c>
      <c r="AA23" s="124" t="s">
        <v>11</v>
      </c>
      <c r="AB23" s="124" t="s">
        <v>11</v>
      </c>
      <c r="AC23" s="124" t="s">
        <v>11</v>
      </c>
      <c r="AD23" s="124" t="s">
        <v>11</v>
      </c>
      <c r="AE23" s="124" t="s">
        <v>11</v>
      </c>
      <c r="AF23" s="124" t="s">
        <v>11</v>
      </c>
      <c r="AG23" s="124" t="s">
        <v>11</v>
      </c>
      <c r="AH23" s="124" t="s">
        <v>12</v>
      </c>
      <c r="AI23" s="13">
        <f t="shared" si="0"/>
        <v>0.967741935483871</v>
      </c>
    </row>
    <row r="24" spans="1:35" ht="15.75" customHeight="1" x14ac:dyDescent="0.25">
      <c r="A24" s="180" t="s">
        <v>28</v>
      </c>
      <c r="B24" s="181"/>
      <c r="C24" s="182"/>
      <c r="D24" s="125" t="s">
        <v>12</v>
      </c>
      <c r="E24" s="125" t="s">
        <v>11</v>
      </c>
      <c r="F24" s="125" t="s">
        <v>11</v>
      </c>
      <c r="G24" s="125" t="s">
        <v>11</v>
      </c>
      <c r="H24" s="125" t="s">
        <v>11</v>
      </c>
      <c r="I24" s="125" t="s">
        <v>11</v>
      </c>
      <c r="J24" s="125" t="s">
        <v>11</v>
      </c>
      <c r="K24" s="125" t="s">
        <v>11</v>
      </c>
      <c r="L24" s="125" t="s">
        <v>11</v>
      </c>
      <c r="M24" s="125" t="s">
        <v>11</v>
      </c>
      <c r="N24" s="125" t="s">
        <v>11</v>
      </c>
      <c r="O24" s="125" t="s">
        <v>11</v>
      </c>
      <c r="P24" s="125" t="s">
        <v>11</v>
      </c>
      <c r="Q24" s="125" t="s">
        <v>11</v>
      </c>
      <c r="R24" s="125" t="s">
        <v>11</v>
      </c>
      <c r="S24" s="125" t="s">
        <v>11</v>
      </c>
      <c r="T24" s="125" t="s">
        <v>11</v>
      </c>
      <c r="U24" s="125" t="s">
        <v>11</v>
      </c>
      <c r="V24" s="125" t="s">
        <v>11</v>
      </c>
      <c r="W24" s="125" t="s">
        <v>11</v>
      </c>
      <c r="X24" s="125" t="s">
        <v>11</v>
      </c>
      <c r="Y24" s="125" t="s">
        <v>11</v>
      </c>
      <c r="Z24" s="14" t="s">
        <v>11</v>
      </c>
      <c r="AA24" s="125" t="s">
        <v>11</v>
      </c>
      <c r="AB24" s="125" t="s">
        <v>11</v>
      </c>
      <c r="AC24" s="125" t="s">
        <v>11</v>
      </c>
      <c r="AD24" s="125" t="s">
        <v>11</v>
      </c>
      <c r="AE24" s="125" t="s">
        <v>11</v>
      </c>
      <c r="AF24" s="125" t="s">
        <v>11</v>
      </c>
      <c r="AG24" s="125" t="s">
        <v>11</v>
      </c>
      <c r="AH24" s="125" t="s">
        <v>12</v>
      </c>
      <c r="AI24" s="17">
        <f t="shared" si="0"/>
        <v>0.93548387096774188</v>
      </c>
    </row>
    <row r="25" spans="1:35" ht="15.75" customHeight="1" x14ac:dyDescent="0.25">
      <c r="A25" s="162" t="s">
        <v>29</v>
      </c>
      <c r="B25" s="163"/>
      <c r="C25" s="164"/>
      <c r="D25" s="25" t="s">
        <v>11</v>
      </c>
      <c r="E25" s="25" t="s">
        <v>11</v>
      </c>
      <c r="F25" s="25" t="s">
        <v>11</v>
      </c>
      <c r="G25" s="25" t="s">
        <v>11</v>
      </c>
      <c r="H25" s="25" t="s">
        <v>11</v>
      </c>
      <c r="I25" s="25" t="s">
        <v>11</v>
      </c>
      <c r="J25" s="25" t="s">
        <v>11</v>
      </c>
      <c r="K25" s="25" t="s">
        <v>11</v>
      </c>
      <c r="L25" s="25" t="s">
        <v>11</v>
      </c>
      <c r="M25" s="25" t="s">
        <v>11</v>
      </c>
      <c r="N25" s="25" t="s">
        <v>11</v>
      </c>
      <c r="O25" s="25" t="s">
        <v>11</v>
      </c>
      <c r="P25" s="25" t="s">
        <v>11</v>
      </c>
      <c r="Q25" s="25" t="s">
        <v>11</v>
      </c>
      <c r="R25" s="25" t="s">
        <v>11</v>
      </c>
      <c r="S25" s="25" t="s">
        <v>11</v>
      </c>
      <c r="T25" s="25" t="s">
        <v>11</v>
      </c>
      <c r="U25" s="25" t="s">
        <v>11</v>
      </c>
      <c r="V25" s="25" t="s">
        <v>11</v>
      </c>
      <c r="W25" s="25" t="s">
        <v>22</v>
      </c>
      <c r="X25" s="25" t="s">
        <v>22</v>
      </c>
      <c r="Y25" s="25" t="s">
        <v>22</v>
      </c>
      <c r="Z25" s="81" t="s">
        <v>22</v>
      </c>
      <c r="AA25" s="25" t="s">
        <v>11</v>
      </c>
      <c r="AB25" s="25" t="s">
        <v>11</v>
      </c>
      <c r="AC25" s="25" t="s">
        <v>11</v>
      </c>
      <c r="AD25" s="25" t="s">
        <v>11</v>
      </c>
      <c r="AE25" s="25" t="s">
        <v>11</v>
      </c>
      <c r="AF25" s="81" t="s">
        <v>22</v>
      </c>
      <c r="AG25" s="81" t="s">
        <v>11</v>
      </c>
      <c r="AH25" s="81" t="s">
        <v>11</v>
      </c>
      <c r="AI25" s="19">
        <f t="shared" si="0"/>
        <v>1</v>
      </c>
    </row>
    <row r="26" spans="1:35" ht="15.75" customHeight="1" x14ac:dyDescent="0.25">
      <c r="A26" s="162" t="s">
        <v>30</v>
      </c>
      <c r="B26" s="163"/>
      <c r="C26" s="164"/>
      <c r="D26" s="25" t="s">
        <v>11</v>
      </c>
      <c r="E26" s="25" t="s">
        <v>11</v>
      </c>
      <c r="F26" s="25" t="s">
        <v>11</v>
      </c>
      <c r="G26" s="25" t="s">
        <v>11</v>
      </c>
      <c r="H26" s="25" t="s">
        <v>11</v>
      </c>
      <c r="I26" s="25" t="s">
        <v>11</v>
      </c>
      <c r="J26" s="25" t="s">
        <v>11</v>
      </c>
      <c r="K26" s="25" t="s">
        <v>11</v>
      </c>
      <c r="L26" s="25" t="s">
        <v>11</v>
      </c>
      <c r="M26" s="25" t="s">
        <v>11</v>
      </c>
      <c r="N26" s="25" t="s">
        <v>11</v>
      </c>
      <c r="O26" s="25" t="s">
        <v>11</v>
      </c>
      <c r="P26" s="25" t="s">
        <v>11</v>
      </c>
      <c r="Q26" s="25" t="s">
        <v>11</v>
      </c>
      <c r="R26" s="25" t="s">
        <v>11</v>
      </c>
      <c r="S26" s="25" t="s">
        <v>11</v>
      </c>
      <c r="T26" s="25" t="s">
        <v>11</v>
      </c>
      <c r="U26" s="25" t="s">
        <v>11</v>
      </c>
      <c r="V26" s="25" t="s">
        <v>11</v>
      </c>
      <c r="W26" s="25" t="s">
        <v>22</v>
      </c>
      <c r="X26" s="25" t="s">
        <v>22</v>
      </c>
      <c r="Y26" s="25" t="s">
        <v>22</v>
      </c>
      <c r="Z26" s="81" t="s">
        <v>22</v>
      </c>
      <c r="AA26" s="25" t="s">
        <v>11</v>
      </c>
      <c r="AB26" s="25" t="s">
        <v>22</v>
      </c>
      <c r="AC26" s="25" t="s">
        <v>22</v>
      </c>
      <c r="AD26" s="25" t="s">
        <v>11</v>
      </c>
      <c r="AE26" s="25" t="s">
        <v>11</v>
      </c>
      <c r="AF26" s="81" t="s">
        <v>22</v>
      </c>
      <c r="AG26" s="81" t="s">
        <v>11</v>
      </c>
      <c r="AH26" s="81" t="s">
        <v>11</v>
      </c>
      <c r="AI26" s="19">
        <f t="shared" si="0"/>
        <v>1</v>
      </c>
    </row>
    <row r="27" spans="1:35" ht="15.75" customHeight="1" x14ac:dyDescent="0.25">
      <c r="A27" s="156" t="s">
        <v>31</v>
      </c>
      <c r="B27" s="157"/>
      <c r="C27" s="158"/>
      <c r="D27" s="72" t="s">
        <v>8</v>
      </c>
      <c r="E27" s="72" t="s">
        <v>8</v>
      </c>
      <c r="F27" s="72" t="s">
        <v>8</v>
      </c>
      <c r="G27" s="72" t="s">
        <v>8</v>
      </c>
      <c r="H27" s="72" t="s">
        <v>8</v>
      </c>
      <c r="I27" s="72" t="s">
        <v>8</v>
      </c>
      <c r="J27" s="72" t="s">
        <v>8</v>
      </c>
      <c r="K27" s="72" t="s">
        <v>8</v>
      </c>
      <c r="L27" s="72" t="s">
        <v>8</v>
      </c>
      <c r="M27" s="72" t="s">
        <v>8</v>
      </c>
      <c r="N27" s="72" t="s">
        <v>8</v>
      </c>
      <c r="O27" s="72" t="s">
        <v>8</v>
      </c>
      <c r="P27" s="72" t="s">
        <v>9</v>
      </c>
      <c r="Q27" s="72" t="s">
        <v>8</v>
      </c>
      <c r="R27" s="72" t="s">
        <v>8</v>
      </c>
      <c r="S27" s="72" t="s">
        <v>9</v>
      </c>
      <c r="T27" s="72" t="s">
        <v>8</v>
      </c>
      <c r="U27" s="72" t="s">
        <v>8</v>
      </c>
      <c r="V27" s="72" t="s">
        <v>8</v>
      </c>
      <c r="W27" s="72" t="s">
        <v>9</v>
      </c>
      <c r="X27" s="72" t="s">
        <v>9</v>
      </c>
      <c r="Y27" s="72" t="s">
        <v>8</v>
      </c>
      <c r="Z27" s="72" t="s">
        <v>9</v>
      </c>
      <c r="AA27" s="72" t="s">
        <v>8</v>
      </c>
      <c r="AB27" s="72" t="s">
        <v>8</v>
      </c>
      <c r="AC27" s="72" t="s">
        <v>9</v>
      </c>
      <c r="AD27" s="72" t="s">
        <v>9</v>
      </c>
      <c r="AE27" s="72" t="s">
        <v>9</v>
      </c>
      <c r="AF27" s="72" t="s">
        <v>8</v>
      </c>
      <c r="AG27" s="72" t="s">
        <v>8</v>
      </c>
      <c r="AH27" s="72" t="s">
        <v>8</v>
      </c>
      <c r="AI27" s="13">
        <f t="shared" si="0"/>
        <v>1</v>
      </c>
    </row>
    <row r="28" spans="1:35" ht="15.75" customHeight="1" x14ac:dyDescent="0.25">
      <c r="A28" s="183" t="s">
        <v>32</v>
      </c>
      <c r="B28" s="184"/>
      <c r="C28" s="185"/>
      <c r="D28" s="28">
        <v>3</v>
      </c>
      <c r="E28" s="28">
        <v>3</v>
      </c>
      <c r="F28" s="28">
        <v>2.5</v>
      </c>
      <c r="G28" s="28">
        <v>3</v>
      </c>
      <c r="H28" s="28">
        <v>3</v>
      </c>
      <c r="I28" s="28" t="s">
        <v>113</v>
      </c>
      <c r="J28" s="28" t="s">
        <v>113</v>
      </c>
      <c r="K28" s="28" t="s">
        <v>113</v>
      </c>
      <c r="L28" s="28">
        <v>4</v>
      </c>
      <c r="M28" s="28" t="s">
        <v>113</v>
      </c>
      <c r="N28" s="28" t="s">
        <v>113</v>
      </c>
      <c r="O28" s="28" t="s">
        <v>113</v>
      </c>
      <c r="P28" s="28">
        <v>3</v>
      </c>
      <c r="Q28" s="28">
        <v>2</v>
      </c>
      <c r="R28" s="102" t="s">
        <v>113</v>
      </c>
      <c r="S28" s="102" t="s">
        <v>123</v>
      </c>
      <c r="T28" s="102" t="s">
        <v>113</v>
      </c>
      <c r="U28" s="102" t="s">
        <v>113</v>
      </c>
      <c r="V28" s="102" t="s">
        <v>113</v>
      </c>
      <c r="W28" s="102" t="s">
        <v>113</v>
      </c>
      <c r="X28" s="102" t="s">
        <v>113</v>
      </c>
      <c r="Y28" s="102">
        <v>3</v>
      </c>
      <c r="Z28" s="102" t="s">
        <v>115</v>
      </c>
      <c r="AA28" s="102">
        <v>3</v>
      </c>
      <c r="AB28" s="102" t="s">
        <v>114</v>
      </c>
      <c r="AC28" s="102" t="s">
        <v>115</v>
      </c>
      <c r="AD28" s="102">
        <v>3</v>
      </c>
      <c r="AE28" s="102">
        <v>3</v>
      </c>
      <c r="AF28" s="102" t="s">
        <v>114</v>
      </c>
      <c r="AG28" s="102" t="s">
        <v>114</v>
      </c>
      <c r="AH28" s="102">
        <v>3</v>
      </c>
      <c r="AI28" s="17">
        <f>IF(COUNTA(D28:AH28)&gt;0,(COUNTA(D28:AH28)-COUNTIF(D28:AH28,"NB")-COUNTIF(D28:AH28,"DN")-COUNTIF(D28:AH28,"An")-COUNTIF(D28:AH28,"NB^")-COUNTIF(D28:AH28,0))/COUNTA(D28:AH28),"")</f>
        <v>1</v>
      </c>
    </row>
    <row r="29" spans="1:35" ht="15.75" customHeight="1" x14ac:dyDescent="0.25">
      <c r="A29" s="171" t="s">
        <v>97</v>
      </c>
      <c r="B29" s="172"/>
      <c r="C29" s="173"/>
      <c r="D29" s="83" t="s">
        <v>146</v>
      </c>
      <c r="E29" s="83" t="s">
        <v>145</v>
      </c>
      <c r="F29" s="83" t="s">
        <v>144</v>
      </c>
      <c r="G29" s="91" t="s">
        <v>147</v>
      </c>
      <c r="H29" s="83">
        <v>0</v>
      </c>
      <c r="I29" s="83" t="s">
        <v>150</v>
      </c>
      <c r="J29" s="83" t="s">
        <v>119</v>
      </c>
      <c r="K29" s="83" t="s">
        <v>149</v>
      </c>
      <c r="L29" s="83" t="s">
        <v>148</v>
      </c>
      <c r="M29" s="83" t="s">
        <v>151</v>
      </c>
      <c r="N29" s="83" t="s">
        <v>130</v>
      </c>
      <c r="O29" s="83" t="s">
        <v>153</v>
      </c>
      <c r="P29" s="83" t="s">
        <v>148</v>
      </c>
      <c r="Q29" s="29" t="s">
        <v>152</v>
      </c>
      <c r="R29" s="83" t="s">
        <v>130</v>
      </c>
      <c r="S29" s="83" t="s">
        <v>154</v>
      </c>
      <c r="T29" s="83" t="s">
        <v>155</v>
      </c>
      <c r="U29" s="83" t="s">
        <v>151</v>
      </c>
      <c r="V29" s="83" t="s">
        <v>140</v>
      </c>
      <c r="W29" s="83" t="s">
        <v>156</v>
      </c>
      <c r="X29" s="83" t="s">
        <v>130</v>
      </c>
      <c r="Y29" s="83">
        <v>10.1</v>
      </c>
      <c r="Z29" s="83">
        <v>26.2</v>
      </c>
      <c r="AA29" s="83">
        <v>30.2</v>
      </c>
      <c r="AB29" s="83">
        <v>30.4</v>
      </c>
      <c r="AC29" s="83">
        <v>25.6</v>
      </c>
      <c r="AD29" s="83">
        <v>7.8</v>
      </c>
      <c r="AE29" s="83">
        <v>2.5</v>
      </c>
      <c r="AF29" s="83">
        <v>8.1999999999999993</v>
      </c>
      <c r="AG29" s="83" t="s">
        <v>157</v>
      </c>
      <c r="AH29" s="83">
        <v>0</v>
      </c>
      <c r="AI29" s="19">
        <f>IF(COUNTA(D29:AH29)&gt;0,(COUNTA(D29:AH29)-COUNTIF(D29:AH29,"NB")-COUNTIF(D29:AH29,"DN")-COUNTIF(D29:AH29,"An")-COUNTIF(D29:AH29,"NB^")-COUNTIF(D29:AH29,0))/COUNTA(D29:AH29),"")</f>
        <v>0.93548387096774188</v>
      </c>
    </row>
    <row r="30" spans="1:35" ht="15.75" customHeight="1" x14ac:dyDescent="0.25">
      <c r="A30" s="153" t="s">
        <v>33</v>
      </c>
      <c r="B30" s="154"/>
      <c r="C30" s="155"/>
      <c r="D30" s="84" t="s">
        <v>8</v>
      </c>
      <c r="E30" s="84" t="s">
        <v>8</v>
      </c>
      <c r="F30" s="84" t="s">
        <v>8</v>
      </c>
      <c r="G30" s="84" t="s">
        <v>8</v>
      </c>
      <c r="H30" s="84" t="s">
        <v>8</v>
      </c>
      <c r="I30" s="84" t="s">
        <v>8</v>
      </c>
      <c r="J30" s="84" t="s">
        <v>8</v>
      </c>
      <c r="K30" s="84" t="s">
        <v>8</v>
      </c>
      <c r="L30" s="84" t="s">
        <v>8</v>
      </c>
      <c r="M30" s="84" t="s">
        <v>8</v>
      </c>
      <c r="N30" s="84" t="s">
        <v>8</v>
      </c>
      <c r="O30" s="84" t="s">
        <v>8</v>
      </c>
      <c r="P30" s="84" t="s">
        <v>9</v>
      </c>
      <c r="Q30" s="84" t="s">
        <v>8</v>
      </c>
      <c r="R30" s="84" t="s">
        <v>8</v>
      </c>
      <c r="S30" s="84" t="s">
        <v>9</v>
      </c>
      <c r="T30" s="84" t="s">
        <v>8</v>
      </c>
      <c r="U30" s="84" t="s">
        <v>8</v>
      </c>
      <c r="V30" s="84" t="s">
        <v>8</v>
      </c>
      <c r="W30" s="84" t="s">
        <v>9</v>
      </c>
      <c r="X30" s="84" t="s">
        <v>9</v>
      </c>
      <c r="Y30" s="84" t="s">
        <v>8</v>
      </c>
      <c r="Z30" s="84" t="s">
        <v>9</v>
      </c>
      <c r="AA30" s="84" t="s">
        <v>8</v>
      </c>
      <c r="AB30" s="84" t="s">
        <v>8</v>
      </c>
      <c r="AC30" s="84" t="s">
        <v>9</v>
      </c>
      <c r="AD30" s="84" t="s">
        <v>9</v>
      </c>
      <c r="AE30" s="84" t="s">
        <v>9</v>
      </c>
      <c r="AF30" s="84" t="s">
        <v>8</v>
      </c>
      <c r="AG30" s="84" t="s">
        <v>8</v>
      </c>
      <c r="AH30" s="84" t="s">
        <v>8</v>
      </c>
      <c r="AI30" s="19">
        <f>IF(COUNTA(D30:AH30)&gt;0,(COUNTA(D30:AH30)-COUNTIF(D30:AH30,"NB")-COUNTIF(D30:AH30,"DN")-COUNTIF(D30:AH30,"An")-COUNTIF(D30:AH30,"NB^")-COUNTIF(D30:AH30,0))/COUNTA(D30:AH30),"")</f>
        <v>1</v>
      </c>
    </row>
    <row r="31" spans="1:35" ht="15.75" customHeight="1" x14ac:dyDescent="0.25">
      <c r="A31" s="156" t="s">
        <v>34</v>
      </c>
      <c r="B31" s="157"/>
      <c r="C31" s="158"/>
      <c r="D31" s="72" t="s">
        <v>8</v>
      </c>
      <c r="E31" s="72" t="s">
        <v>8</v>
      </c>
      <c r="F31" s="72" t="s">
        <v>8</v>
      </c>
      <c r="G31" s="72" t="s">
        <v>8</v>
      </c>
      <c r="H31" s="72" t="s">
        <v>8</v>
      </c>
      <c r="I31" s="72" t="s">
        <v>8</v>
      </c>
      <c r="J31" s="72" t="s">
        <v>8</v>
      </c>
      <c r="K31" s="72" t="s">
        <v>8</v>
      </c>
      <c r="L31" s="72" t="s">
        <v>8</v>
      </c>
      <c r="M31" s="72" t="s">
        <v>8</v>
      </c>
      <c r="N31" s="72" t="s">
        <v>8</v>
      </c>
      <c r="O31" s="72" t="s">
        <v>8</v>
      </c>
      <c r="P31" s="72" t="s">
        <v>9</v>
      </c>
      <c r="Q31" s="72" t="s">
        <v>8</v>
      </c>
      <c r="R31" s="72" t="s">
        <v>8</v>
      </c>
      <c r="S31" s="72" t="s">
        <v>9</v>
      </c>
      <c r="T31" s="72" t="s">
        <v>8</v>
      </c>
      <c r="U31" s="72" t="s">
        <v>8</v>
      </c>
      <c r="V31" s="72" t="s">
        <v>8</v>
      </c>
      <c r="W31" s="72" t="s">
        <v>9</v>
      </c>
      <c r="X31" s="72" t="s">
        <v>9</v>
      </c>
      <c r="Y31" s="72" t="s">
        <v>8</v>
      </c>
      <c r="Z31" s="72" t="s">
        <v>9</v>
      </c>
      <c r="AA31" s="72" t="s">
        <v>8</v>
      </c>
      <c r="AB31" s="72" t="s">
        <v>8</v>
      </c>
      <c r="AC31" s="72" t="s">
        <v>9</v>
      </c>
      <c r="AD31" s="72" t="s">
        <v>9</v>
      </c>
      <c r="AE31" s="72" t="s">
        <v>9</v>
      </c>
      <c r="AF31" s="72" t="s">
        <v>8</v>
      </c>
      <c r="AG31" s="72" t="s">
        <v>8</v>
      </c>
      <c r="AH31" s="72" t="s">
        <v>8</v>
      </c>
      <c r="AI31" s="13">
        <f>IF(COUNTA(D31:AH31)&gt;0,(COUNTA(D31:AH31)-COUNTIF(D31:AH31,"NB")-COUNTIF(D31:AH31,"DN")-COUNTIF(D31:AH31,"An")-COUNTIF(D31:AH31,"NB^")-COUNTIF(D31:AH31,0))/COUNTA(D31:AH31),"")</f>
        <v>1</v>
      </c>
    </row>
    <row r="32" spans="1:35" ht="15.75" customHeight="1" x14ac:dyDescent="0.25">
      <c r="A32" s="159" t="s">
        <v>35</v>
      </c>
      <c r="B32" s="160"/>
      <c r="C32" s="161"/>
      <c r="D32" s="85" t="s">
        <v>8</v>
      </c>
      <c r="E32" s="85" t="s">
        <v>8</v>
      </c>
      <c r="F32" s="85" t="s">
        <v>8</v>
      </c>
      <c r="G32" s="85" t="s">
        <v>8</v>
      </c>
      <c r="H32" s="85" t="s">
        <v>8</v>
      </c>
      <c r="I32" s="85" t="s">
        <v>8</v>
      </c>
      <c r="J32" s="85" t="s">
        <v>8</v>
      </c>
      <c r="K32" s="85" t="s">
        <v>8</v>
      </c>
      <c r="L32" s="85" t="s">
        <v>8</v>
      </c>
      <c r="M32" s="85" t="s">
        <v>8</v>
      </c>
      <c r="N32" s="85" t="s">
        <v>8</v>
      </c>
      <c r="O32" s="85" t="s">
        <v>8</v>
      </c>
      <c r="P32" s="85" t="s">
        <v>9</v>
      </c>
      <c r="Q32" s="85" t="s">
        <v>8</v>
      </c>
      <c r="R32" s="85" t="s">
        <v>8</v>
      </c>
      <c r="S32" s="85" t="s">
        <v>9</v>
      </c>
      <c r="T32" s="85" t="s">
        <v>8</v>
      </c>
      <c r="U32" s="85" t="s">
        <v>8</v>
      </c>
      <c r="V32" s="85" t="s">
        <v>8</v>
      </c>
      <c r="W32" s="85" t="s">
        <v>9</v>
      </c>
      <c r="X32" s="85" t="s">
        <v>9</v>
      </c>
      <c r="Y32" s="85" t="s">
        <v>8</v>
      </c>
      <c r="Z32" s="85" t="s">
        <v>9</v>
      </c>
      <c r="AA32" s="85" t="s">
        <v>8</v>
      </c>
      <c r="AB32" s="85" t="s">
        <v>8</v>
      </c>
      <c r="AC32" s="85" t="s">
        <v>9</v>
      </c>
      <c r="AD32" s="85" t="s">
        <v>9</v>
      </c>
      <c r="AE32" s="85" t="s">
        <v>9</v>
      </c>
      <c r="AF32" s="85" t="s">
        <v>8</v>
      </c>
      <c r="AG32" s="85" t="s">
        <v>8</v>
      </c>
      <c r="AH32" s="85" t="s">
        <v>8</v>
      </c>
      <c r="AI32" s="17">
        <f t="shared" si="0"/>
        <v>1</v>
      </c>
    </row>
    <row r="33" spans="1:44" ht="15.75" customHeight="1" x14ac:dyDescent="0.25">
      <c r="A33" s="162" t="s">
        <v>36</v>
      </c>
      <c r="B33" s="163"/>
      <c r="C33" s="164"/>
      <c r="D33" s="81" t="s">
        <v>11</v>
      </c>
      <c r="E33" s="81" t="s">
        <v>11</v>
      </c>
      <c r="F33" s="81" t="s">
        <v>11</v>
      </c>
      <c r="G33" s="81" t="s">
        <v>11</v>
      </c>
      <c r="H33" s="81" t="s">
        <v>11</v>
      </c>
      <c r="I33" s="81" t="s">
        <v>11</v>
      </c>
      <c r="J33" s="81" t="s">
        <v>11</v>
      </c>
      <c r="K33" s="81" t="s">
        <v>11</v>
      </c>
      <c r="L33" s="81" t="s">
        <v>11</v>
      </c>
      <c r="M33" s="81" t="s">
        <v>11</v>
      </c>
      <c r="N33" s="81" t="s">
        <v>11</v>
      </c>
      <c r="O33" s="81" t="s">
        <v>11</v>
      </c>
      <c r="P33" s="81" t="s">
        <v>11</v>
      </c>
      <c r="Q33" s="81" t="s">
        <v>11</v>
      </c>
      <c r="R33" s="81" t="s">
        <v>11</v>
      </c>
      <c r="S33" s="81" t="s">
        <v>11</v>
      </c>
      <c r="T33" s="81" t="s">
        <v>11</v>
      </c>
      <c r="U33" s="81" t="s">
        <v>11</v>
      </c>
      <c r="V33" s="81" t="s">
        <v>11</v>
      </c>
      <c r="W33" s="81" t="s">
        <v>11</v>
      </c>
      <c r="X33" s="81" t="s">
        <v>11</v>
      </c>
      <c r="Y33" s="81" t="s">
        <v>11</v>
      </c>
      <c r="Z33" s="81" t="s">
        <v>11</v>
      </c>
      <c r="AA33" s="81" t="s">
        <v>11</v>
      </c>
      <c r="AB33" s="81" t="s">
        <v>11</v>
      </c>
      <c r="AC33" s="81" t="s">
        <v>11</v>
      </c>
      <c r="AD33" s="81" t="s">
        <v>11</v>
      </c>
      <c r="AE33" s="81" t="s">
        <v>11</v>
      </c>
      <c r="AF33" s="81" t="s">
        <v>11</v>
      </c>
      <c r="AG33" s="81" t="s">
        <v>11</v>
      </c>
      <c r="AH33" s="81" t="s">
        <v>11</v>
      </c>
      <c r="AI33" s="19">
        <f t="shared" si="0"/>
        <v>1</v>
      </c>
    </row>
    <row r="34" spans="1:44" ht="15.75" customHeight="1" x14ac:dyDescent="0.25">
      <c r="A34" s="162" t="s">
        <v>95</v>
      </c>
      <c r="B34" s="163"/>
      <c r="C34" s="164"/>
      <c r="D34" s="81" t="s">
        <v>11</v>
      </c>
      <c r="E34" s="81" t="s">
        <v>11</v>
      </c>
      <c r="F34" s="81" t="s">
        <v>11</v>
      </c>
      <c r="G34" s="81" t="s">
        <v>11</v>
      </c>
      <c r="H34" s="81" t="s">
        <v>11</v>
      </c>
      <c r="I34" s="81" t="s">
        <v>11</v>
      </c>
      <c r="J34" s="81" t="s">
        <v>11</v>
      </c>
      <c r="K34" s="81" t="s">
        <v>11</v>
      </c>
      <c r="L34" s="81" t="s">
        <v>11</v>
      </c>
      <c r="M34" s="81" t="s">
        <v>11</v>
      </c>
      <c r="N34" s="81" t="s">
        <v>11</v>
      </c>
      <c r="O34" s="81" t="s">
        <v>11</v>
      </c>
      <c r="P34" s="81" t="s">
        <v>11</v>
      </c>
      <c r="Q34" s="101" t="s">
        <v>11</v>
      </c>
      <c r="R34" s="101" t="s">
        <v>22</v>
      </c>
      <c r="S34" s="101" t="s">
        <v>11</v>
      </c>
      <c r="T34" s="101" t="s">
        <v>11</v>
      </c>
      <c r="U34" s="101" t="s">
        <v>11</v>
      </c>
      <c r="V34" s="101" t="s">
        <v>11</v>
      </c>
      <c r="W34" s="101" t="s">
        <v>22</v>
      </c>
      <c r="X34" s="101" t="s">
        <v>22</v>
      </c>
      <c r="Y34" s="101" t="s">
        <v>11</v>
      </c>
      <c r="Z34" s="101" t="s">
        <v>11</v>
      </c>
      <c r="AA34" s="101" t="s">
        <v>11</v>
      </c>
      <c r="AB34" s="101" t="s">
        <v>11</v>
      </c>
      <c r="AC34" s="101" t="s">
        <v>22</v>
      </c>
      <c r="AD34" s="101" t="s">
        <v>11</v>
      </c>
      <c r="AE34" s="101" t="s">
        <v>11</v>
      </c>
      <c r="AF34" s="101" t="s">
        <v>11</v>
      </c>
      <c r="AG34" s="101" t="s">
        <v>11</v>
      </c>
      <c r="AH34" s="101" t="s">
        <v>11</v>
      </c>
      <c r="AI34" s="13">
        <f>IF(COUNTA(D34:AH34)&gt;0,(COUNTA(D34:AH34)-COUNTIF(D34:AH34,"NB")-COUNTIF(D34:AH34,"DN")-COUNTIF(D34:AH34,"An")-COUNTIF(D34:AH34,"NB^")-COUNTIF(D34:AH34,0))/COUNTA(D34:AH34),"")</f>
        <v>1</v>
      </c>
    </row>
    <row r="35" spans="1:44" ht="15.75" customHeight="1" thickBot="1" x14ac:dyDescent="0.3">
      <c r="A35" s="165" t="s">
        <v>96</v>
      </c>
      <c r="B35" s="166"/>
      <c r="C35" s="167"/>
      <c r="D35" s="95" t="s">
        <v>11</v>
      </c>
      <c r="E35" s="95" t="s">
        <v>11</v>
      </c>
      <c r="F35" s="95" t="s">
        <v>11</v>
      </c>
      <c r="G35" s="95" t="s">
        <v>11</v>
      </c>
      <c r="H35" s="95" t="s">
        <v>11</v>
      </c>
      <c r="I35" s="95" t="s">
        <v>11</v>
      </c>
      <c r="J35" s="95" t="s">
        <v>11</v>
      </c>
      <c r="K35" s="95" t="s">
        <v>11</v>
      </c>
      <c r="L35" s="95" t="s">
        <v>11</v>
      </c>
      <c r="M35" s="95" t="s">
        <v>11</v>
      </c>
      <c r="N35" s="95" t="s">
        <v>11</v>
      </c>
      <c r="O35" s="95" t="s">
        <v>11</v>
      </c>
      <c r="P35" s="95" t="s">
        <v>11</v>
      </c>
      <c r="Q35" s="126" t="s">
        <v>11</v>
      </c>
      <c r="R35" s="126" t="s">
        <v>22</v>
      </c>
      <c r="S35" s="126" t="s">
        <v>11</v>
      </c>
      <c r="T35" s="126" t="s">
        <v>11</v>
      </c>
      <c r="U35" s="126" t="s">
        <v>11</v>
      </c>
      <c r="V35" s="126" t="s">
        <v>11</v>
      </c>
      <c r="W35" s="126" t="s">
        <v>22</v>
      </c>
      <c r="X35" s="126" t="s">
        <v>22</v>
      </c>
      <c r="Y35" s="126" t="s">
        <v>11</v>
      </c>
      <c r="Z35" s="126" t="s">
        <v>22</v>
      </c>
      <c r="AA35" s="126" t="s">
        <v>11</v>
      </c>
      <c r="AB35" s="126" t="s">
        <v>11</v>
      </c>
      <c r="AC35" s="126" t="s">
        <v>22</v>
      </c>
      <c r="AD35" s="126" t="s">
        <v>11</v>
      </c>
      <c r="AE35" s="126" t="s">
        <v>11</v>
      </c>
      <c r="AF35" s="126" t="s">
        <v>11</v>
      </c>
      <c r="AG35" s="126" t="s">
        <v>11</v>
      </c>
      <c r="AH35" s="126" t="s">
        <v>11</v>
      </c>
      <c r="AI35" s="30">
        <f t="shared" si="0"/>
        <v>1</v>
      </c>
    </row>
    <row r="36" spans="1:44" s="32" customFormat="1" ht="15.75" customHeight="1" x14ac:dyDescent="0.25">
      <c r="A36" s="150" t="s">
        <v>37</v>
      </c>
      <c r="B36" s="151"/>
      <c r="C36" s="152"/>
      <c r="D36" s="76">
        <v>0</v>
      </c>
      <c r="E36" s="76">
        <v>0</v>
      </c>
      <c r="F36" s="76">
        <v>0</v>
      </c>
      <c r="G36" s="76">
        <v>35</v>
      </c>
      <c r="H36" s="76">
        <v>35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50</v>
      </c>
      <c r="T36" s="76">
        <v>35</v>
      </c>
      <c r="U36" s="76">
        <v>0</v>
      </c>
      <c r="V36" s="76">
        <v>0</v>
      </c>
      <c r="W36" s="76">
        <v>35</v>
      </c>
      <c r="X36" s="76">
        <v>15</v>
      </c>
      <c r="Y36" s="76">
        <v>0</v>
      </c>
      <c r="Z36" s="76">
        <v>0</v>
      </c>
      <c r="AA36" s="76">
        <v>0</v>
      </c>
      <c r="AB36" s="76">
        <v>0</v>
      </c>
      <c r="AC36" s="76">
        <v>0</v>
      </c>
      <c r="AD36" s="76">
        <v>5</v>
      </c>
      <c r="AE36" s="76">
        <v>5</v>
      </c>
      <c r="AF36" s="76">
        <v>0</v>
      </c>
      <c r="AG36" s="76">
        <v>0</v>
      </c>
      <c r="AH36" s="78">
        <v>0</v>
      </c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68" t="s">
        <v>38</v>
      </c>
      <c r="B37" s="169"/>
      <c r="C37" s="170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9"/>
      <c r="AI37" s="35"/>
    </row>
    <row r="38" spans="1:44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/>
      </c>
      <c r="E38" s="37" t="str">
        <f>IF(AND(E5&gt;0,COUNTA(E6:E37)&gt;0,COUNTA(E6:E37)-COUNTIF(E6:E37,"NB")-COUNTIF(E30:E31, "0")=COUNTA(E6:E37)),"AB","")</f>
        <v>AB</v>
      </c>
      <c r="F38" s="37" t="str">
        <f>IF(AND(F5&gt;0,COUNTA(F6:F37)&gt;0,COUNTA(F6:F37)-COUNTIF(F6:F37,"NB")-COUNTIF(F30:F31, "0")=COUNTA(F6:F37)),"AB","")</f>
        <v>AB</v>
      </c>
      <c r="G38" s="37" t="str">
        <f>IF(AND(G5&gt;0,COUNTA(G6:G37)&gt;0,COUNTA(G6:G37)-COUNTIF(G6:G37,"NB")-COUNTIF(G30:G31, "0")=COUNTA(G6:G37)),"AB","")</f>
        <v>AB</v>
      </c>
      <c r="H38" s="37" t="str">
        <f>IF(AND(H5&gt;0,COUNTA(H6:H37)&gt;0,COUNTA(H6:H37)-COUNTIF(H6:H37,"NB")-COUNTIF(H30:H31, "0")=COUNTA(H6:H37)),"AB","")</f>
        <v>AB</v>
      </c>
      <c r="J38" s="37" t="str">
        <f t="shared" ref="J38:AH38" si="1">IF(AND(J5&gt;0,COUNTA(J6:J37)&gt;0,COUNTA(J6:J37)-COUNTIF(J6:J37,"NB")-COUNTIF(J30:J31, "0")=COUNTA(J6:J37)),"AB","")</f>
        <v>AB</v>
      </c>
      <c r="K38" s="37" t="str">
        <f t="shared" si="1"/>
        <v/>
      </c>
      <c r="L38" s="37" t="str">
        <f t="shared" si="1"/>
        <v>AB</v>
      </c>
      <c r="M38" s="37" t="str">
        <f t="shared" si="1"/>
        <v>AB</v>
      </c>
      <c r="N38" s="37" t="str">
        <f t="shared" si="1"/>
        <v>AB</v>
      </c>
      <c r="O38" s="37" t="str">
        <f t="shared" si="1"/>
        <v>AB</v>
      </c>
      <c r="P38" s="37" t="str">
        <f t="shared" si="1"/>
        <v>AB</v>
      </c>
      <c r="Q38" s="37" t="str">
        <f t="shared" si="1"/>
        <v>AB</v>
      </c>
      <c r="R38" s="37" t="str">
        <f t="shared" si="1"/>
        <v>AB</v>
      </c>
      <c r="S38" s="37" t="str">
        <f t="shared" si="1"/>
        <v>AB</v>
      </c>
      <c r="T38" s="37" t="str">
        <f t="shared" si="1"/>
        <v>AB</v>
      </c>
      <c r="U38" s="37" t="str">
        <f t="shared" si="1"/>
        <v>AB</v>
      </c>
      <c r="V38" s="37" t="str">
        <f t="shared" si="1"/>
        <v>AB</v>
      </c>
      <c r="W38" s="37" t="str">
        <f t="shared" si="1"/>
        <v>AB</v>
      </c>
      <c r="X38" s="37" t="str">
        <f t="shared" si="1"/>
        <v>AB</v>
      </c>
      <c r="Y38" s="37" t="str">
        <f t="shared" si="1"/>
        <v>AB</v>
      </c>
      <c r="Z38" s="37" t="str">
        <f t="shared" si="1"/>
        <v/>
      </c>
      <c r="AA38" s="37" t="str">
        <f t="shared" si="1"/>
        <v>AB</v>
      </c>
      <c r="AB38" s="37" t="str">
        <f t="shared" si="1"/>
        <v>AB</v>
      </c>
      <c r="AC38" s="37" t="str">
        <f t="shared" si="1"/>
        <v>AB</v>
      </c>
      <c r="AD38" s="37" t="str">
        <f t="shared" si="1"/>
        <v>AB</v>
      </c>
      <c r="AE38" s="37" t="str">
        <f t="shared" si="1"/>
        <v>AB</v>
      </c>
      <c r="AF38" s="37" t="str">
        <f t="shared" si="1"/>
        <v>AB</v>
      </c>
      <c r="AG38" s="37" t="str">
        <f t="shared" si="1"/>
        <v/>
      </c>
      <c r="AH38" s="37" t="str">
        <f t="shared" si="1"/>
        <v/>
      </c>
      <c r="AI38" s="35"/>
    </row>
    <row r="39" spans="1:44" ht="15.75" hidden="1" customHeight="1" x14ac:dyDescent="0.25">
      <c r="D39" s="38" t="str">
        <f>IF(AND(D5:D5&gt;0,COUNTA(D6:D35),COUNTIF(D6:D35,"NB")+COUNTIF(D6:D35,0)=COUNTA(D6:D35)),"ANB","")</f>
        <v/>
      </c>
      <c r="E39" s="38" t="str">
        <f>IF(AND(E5:E5&gt;0,COUNTA(E6:E35),COUNTIF(E6:E35,"NB")+COUNTIF(E6:E35,0)=COUNTA(E6:E35)),"ANB","")</f>
        <v/>
      </c>
      <c r="F39" s="38" t="str">
        <f>IF(AND(F5:F5&gt;0,COUNTA(F6:F35),COUNTIF(F6:F35,"NB")+COUNTIF(F6:F35,0)=COUNTA(F6:F35)),"ANB","")</f>
        <v/>
      </c>
      <c r="G39" s="38" t="str">
        <f>IF(AND(G5:G5&gt;0,COUNTA(G6:G35),COUNTIF(G6:G35,"NB")+COUNTIF(G6:G35,0)=COUNTA(G6:G35)),"ANB","")</f>
        <v/>
      </c>
      <c r="H39" s="38" t="str">
        <f>IF(AND(H5:H5&gt;0,COUNTA(H6:H35),COUNTIF(H6:H35,"NB")+COUNTIF(H6:H35,0)=COUNTA(H6:H35)),"ANB","")</f>
        <v/>
      </c>
      <c r="I39" s="38" t="str">
        <f>IF(AND(I5:I5&gt;0,COUNTA(I6:I31),COUNTIF(I6:I31,"NB")+COUNTIF(I6:I31,0)=COUNTA(I6:I31)),"ANB","")</f>
        <v/>
      </c>
      <c r="J39" s="38" t="str">
        <f t="shared" ref="J39:AH39" si="2">IF(AND(J5:J5&gt;0,COUNTA(J6:J35),COUNTIF(J6:J35,"NB")+COUNTIF(J6:J35,0)=COUNTA(J6:J35)),"ANB","")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str">
        <f t="shared" si="2"/>
        <v/>
      </c>
    </row>
    <row r="40" spans="1:44" ht="15.75" customHeight="1" thickBot="1" x14ac:dyDescent="0.3">
      <c r="D40" s="39"/>
    </row>
    <row r="41" spans="1:44" ht="15.75" customHeight="1" thickBot="1" x14ac:dyDescent="0.3">
      <c r="A41" s="147" t="s">
        <v>39</v>
      </c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9"/>
    </row>
    <row r="42" spans="1:44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  <c r="AH49" s="59"/>
    </row>
    <row r="50" spans="1:35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COUNTA(D5:AH5)</f>
        <v>31</v>
      </c>
      <c r="AH50" s="59"/>
      <c r="AI50"/>
    </row>
    <row r="51" spans="1:35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COUNTIF(D38:AH38,"AB")</f>
        <v>25</v>
      </c>
      <c r="AH51" s="59"/>
      <c r="AI51"/>
    </row>
    <row r="52" spans="1:35" ht="15.75" customHeight="1" x14ac:dyDescent="0.25">
      <c r="A52" s="54" t="s">
        <v>82</v>
      </c>
      <c r="B52" t="s">
        <v>83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6</v>
      </c>
      <c r="AH52" s="59"/>
      <c r="AI52"/>
    </row>
    <row r="53" spans="1:35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37:C37"/>
    <mergeCell ref="A41:AH41"/>
    <mergeCell ref="A30:C30"/>
    <mergeCell ref="A31:C31"/>
    <mergeCell ref="A32:C32"/>
    <mergeCell ref="A33:C33"/>
    <mergeCell ref="A35:C35"/>
    <mergeCell ref="A36:C36"/>
    <mergeCell ref="A34:C34"/>
  </mergeCells>
  <conditionalFormatting sqref="R30:X35 R27:X27">
    <cfRule type="cellIs" dxfId="1768" priority="358" stopIfTrue="1" operator="equal">
      <formula>"B"</formula>
    </cfRule>
    <cfRule type="cellIs" dxfId="1767" priority="359" stopIfTrue="1" operator="equal">
      <formula>"M"</formula>
    </cfRule>
    <cfRule type="cellIs" dxfId="1766" priority="360" stopIfTrue="1" operator="between">
      <formula>"NB"</formula>
      <formula>"NB^"</formula>
    </cfRule>
  </conditionalFormatting>
  <conditionalFormatting sqref="R28:X29">
    <cfRule type="cellIs" dxfId="1765" priority="361" stopIfTrue="1" operator="equal">
      <formula>0</formula>
    </cfRule>
  </conditionalFormatting>
  <conditionalFormatting sqref="Z28:Z29">
    <cfRule type="cellIs" dxfId="1764" priority="337" stopIfTrue="1" operator="equal">
      <formula>0</formula>
    </cfRule>
  </conditionalFormatting>
  <conditionalFormatting sqref="D22">
    <cfRule type="cellIs" priority="304" stopIfTrue="1" operator="equal">
      <formula>"B"</formula>
    </cfRule>
    <cfRule type="cellIs" dxfId="1763" priority="305" stopIfTrue="1" operator="equal">
      <formula>"M"</formula>
    </cfRule>
    <cfRule type="cellIs" dxfId="1762" priority="306" stopIfTrue="1" operator="equal">
      <formula>"NB"</formula>
    </cfRule>
    <cfRule type="cellIs" dxfId="1761" priority="307" stopIfTrue="1" operator="equal">
      <formula>0</formula>
    </cfRule>
  </conditionalFormatting>
  <conditionalFormatting sqref="D9:D14">
    <cfRule type="cellIs" dxfId="1760" priority="301" stopIfTrue="1" operator="equal">
      <formula>"M"</formula>
    </cfRule>
    <cfRule type="cellIs" dxfId="1759" priority="302" stopIfTrue="1" operator="equal">
      <formula>"NB"</formula>
    </cfRule>
    <cfRule type="cellIs" dxfId="1758" priority="303" stopIfTrue="1" operator="equal">
      <formula>"B"</formula>
    </cfRule>
  </conditionalFormatting>
  <conditionalFormatting sqref="D6:D8 D15:D21 D23:D24 D27:D35">
    <cfRule type="cellIs" priority="297" stopIfTrue="1" operator="equal">
      <formula>"B"</formula>
    </cfRule>
    <cfRule type="cellIs" dxfId="1757" priority="298" stopIfTrue="1" operator="equal">
      <formula>"M"</formula>
    </cfRule>
    <cfRule type="cellIs" dxfId="1756" priority="299" stopIfTrue="1" operator="equal">
      <formula>"NB"</formula>
    </cfRule>
    <cfRule type="cellIs" dxfId="1755" priority="300" stopIfTrue="1" operator="equal">
      <formula>0</formula>
    </cfRule>
  </conditionalFormatting>
  <conditionalFormatting sqref="D25:D26">
    <cfRule type="cellIs" dxfId="1754" priority="294" stopIfTrue="1" operator="equal">
      <formula>"M"</formula>
    </cfRule>
    <cfRule type="cellIs" dxfId="1753" priority="295" stopIfTrue="1" operator="equal">
      <formula>"NB"</formula>
    </cfRule>
    <cfRule type="cellIs" dxfId="1752" priority="296" stopIfTrue="1" operator="equal">
      <formula>"B"</formula>
    </cfRule>
  </conditionalFormatting>
  <conditionalFormatting sqref="Q22:X22">
    <cfRule type="cellIs" priority="282" stopIfTrue="1" operator="equal">
      <formula>"B"</formula>
    </cfRule>
    <cfRule type="cellIs" dxfId="1751" priority="283" stopIfTrue="1" operator="equal">
      <formula>"M"</formula>
    </cfRule>
    <cfRule type="cellIs" dxfId="1750" priority="284" stopIfTrue="1" operator="equal">
      <formula>"NB"</formula>
    </cfRule>
    <cfRule type="cellIs" dxfId="1749" priority="285" stopIfTrue="1" operator="equal">
      <formula>0</formula>
    </cfRule>
  </conditionalFormatting>
  <conditionalFormatting sqref="Q27:Q35 Q6:V8 R27:X27 R30:X35 W7:X8 Q15:X21">
    <cfRule type="cellIs" priority="278" stopIfTrue="1" operator="equal">
      <formula>"B"</formula>
    </cfRule>
    <cfRule type="cellIs" dxfId="1748" priority="279" stopIfTrue="1" operator="equal">
      <formula>"M"</formula>
    </cfRule>
    <cfRule type="cellIs" dxfId="1747" priority="280" stopIfTrue="1" operator="equal">
      <formula>"NB"</formula>
    </cfRule>
    <cfRule type="cellIs" dxfId="1746" priority="281" stopIfTrue="1" operator="equal">
      <formula>0</formula>
    </cfRule>
  </conditionalFormatting>
  <conditionalFormatting sqref="W6:X6">
    <cfRule type="cellIs" dxfId="1745" priority="258" stopIfTrue="1" operator="equal">
      <formula>"B"</formula>
    </cfRule>
    <cfRule type="cellIs" dxfId="1744" priority="259" stopIfTrue="1" operator="equal">
      <formula>"M"</formula>
    </cfRule>
    <cfRule type="cellIs" dxfId="1743" priority="260" stopIfTrue="1" operator="between">
      <formula>"NB"</formula>
      <formula>"NB^"</formula>
    </cfRule>
  </conditionalFormatting>
  <conditionalFormatting sqref="Z23:Z24 Z9:Z14">
    <cfRule type="cellIs" priority="250" stopIfTrue="1" operator="equal">
      <formula>"B"</formula>
    </cfRule>
    <cfRule type="cellIs" dxfId="1742" priority="251" stopIfTrue="1" operator="equal">
      <formula>"M"</formula>
    </cfRule>
    <cfRule type="cellIs" dxfId="1741" priority="252" stopIfTrue="1" operator="equal">
      <formula>"NB"</formula>
    </cfRule>
    <cfRule type="cellIs" dxfId="1740" priority="253" stopIfTrue="1" operator="equal">
      <formula>0</formula>
    </cfRule>
  </conditionalFormatting>
  <conditionalFormatting sqref="Z25:Z26 W6:X6">
    <cfRule type="cellIs" priority="246" stopIfTrue="1" operator="equal">
      <formula>"B"</formula>
    </cfRule>
    <cfRule type="cellIs" dxfId="1739" priority="247" stopIfTrue="1" operator="equal">
      <formula>"M"</formula>
    </cfRule>
    <cfRule type="cellIs" dxfId="1738" priority="248" stopIfTrue="1" operator="equal">
      <formula>"NB"</formula>
    </cfRule>
    <cfRule type="cellIs" dxfId="1737" priority="249" stopIfTrue="1" operator="equal">
      <formula>0</formula>
    </cfRule>
  </conditionalFormatting>
  <conditionalFormatting sqref="Y6:Z8 Y18:Z22 Y27:Z27 Y30:Z35">
    <cfRule type="cellIs" dxfId="1736" priority="242" stopIfTrue="1" operator="equal">
      <formula>"B"</formula>
    </cfRule>
    <cfRule type="cellIs" dxfId="1735" priority="243" stopIfTrue="1" operator="equal">
      <formula>"M"</formula>
    </cfRule>
    <cfRule type="cellIs" dxfId="1734" priority="244" stopIfTrue="1" operator="between">
      <formula>"NB"</formula>
      <formula>"NB^"</formula>
    </cfRule>
  </conditionalFormatting>
  <conditionalFormatting sqref="Y28:Y29">
    <cfRule type="cellIs" dxfId="1733" priority="245" stopIfTrue="1" operator="equal">
      <formula>0</formula>
    </cfRule>
  </conditionalFormatting>
  <conditionalFormatting sqref="Y15:Z17">
    <cfRule type="cellIs" priority="238" stopIfTrue="1" operator="equal">
      <formula>"B"</formula>
    </cfRule>
    <cfRule type="cellIs" dxfId="1732" priority="239" stopIfTrue="1" operator="equal">
      <formula>"M"</formula>
    </cfRule>
    <cfRule type="cellIs" dxfId="1731" priority="240" stopIfTrue="1" operator="equal">
      <formula>"NB"</formula>
    </cfRule>
    <cfRule type="cellIs" dxfId="1730" priority="241" stopIfTrue="1" operator="equal">
      <formula>0</formula>
    </cfRule>
  </conditionalFormatting>
  <conditionalFormatting sqref="Y6:Z8 Y15:Z21 Y27:Z27 Y30:Z35">
    <cfRule type="cellIs" priority="230" stopIfTrue="1" operator="equal">
      <formula>"B"</formula>
    </cfRule>
    <cfRule type="cellIs" dxfId="1729" priority="231" stopIfTrue="1" operator="equal">
      <formula>"M"</formula>
    </cfRule>
    <cfRule type="cellIs" dxfId="1728" priority="232" stopIfTrue="1" operator="equal">
      <formula>"NB"</formula>
    </cfRule>
    <cfRule type="cellIs" dxfId="1727" priority="233" stopIfTrue="1" operator="equal">
      <formula>0</formula>
    </cfRule>
  </conditionalFormatting>
  <conditionalFormatting sqref="AC28:AD29">
    <cfRule type="cellIs" dxfId="1726" priority="229" stopIfTrue="1" operator="equal">
      <formula>0</formula>
    </cfRule>
  </conditionalFormatting>
  <conditionalFormatting sqref="AC27:AD27 AC6:AD6 AC30:AD35">
    <cfRule type="cellIs" dxfId="1725" priority="218" stopIfTrue="1" operator="equal">
      <formula>"B"</formula>
    </cfRule>
    <cfRule type="cellIs" dxfId="1724" priority="219" stopIfTrue="1" operator="equal">
      <formula>"M"</formula>
    </cfRule>
    <cfRule type="cellIs" dxfId="1723" priority="220" stopIfTrue="1" operator="between">
      <formula>"NB"</formula>
      <formula>"NB^"</formula>
    </cfRule>
  </conditionalFormatting>
  <conditionalFormatting sqref="AC27:AD27 AC6:AD6 AC30:AD35">
    <cfRule type="cellIs" priority="210" stopIfTrue="1" operator="equal">
      <formula>"B"</formula>
    </cfRule>
    <cfRule type="cellIs" dxfId="1722" priority="211" stopIfTrue="1" operator="equal">
      <formula>"M"</formula>
    </cfRule>
    <cfRule type="cellIs" dxfId="1721" priority="212" stopIfTrue="1" operator="equal">
      <formula>"NB"</formula>
    </cfRule>
    <cfRule type="cellIs" dxfId="1720" priority="213" stopIfTrue="1" operator="equal">
      <formula>0</formula>
    </cfRule>
  </conditionalFormatting>
  <conditionalFormatting sqref="AE28:AF29">
    <cfRule type="cellIs" dxfId="1719" priority="209" stopIfTrue="1" operator="equal">
      <formula>0</formula>
    </cfRule>
  </conditionalFormatting>
  <conditionalFormatting sqref="AF25:AF26">
    <cfRule type="cellIs" priority="201" stopIfTrue="1" operator="equal">
      <formula>"B"</formula>
    </cfRule>
    <cfRule type="cellIs" dxfId="1718" priority="202" stopIfTrue="1" operator="equal">
      <formula>"M"</formula>
    </cfRule>
    <cfRule type="cellIs" dxfId="1717" priority="203" stopIfTrue="1" operator="equal">
      <formula>"NB"</formula>
    </cfRule>
    <cfRule type="cellIs" dxfId="1716" priority="204" stopIfTrue="1" operator="equal">
      <formula>0</formula>
    </cfRule>
  </conditionalFormatting>
  <conditionalFormatting sqref="AE6:AF8 AE18:AF22 AE27:AF27 AE30:AF35">
    <cfRule type="cellIs" dxfId="1715" priority="198" stopIfTrue="1" operator="equal">
      <formula>"B"</formula>
    </cfRule>
    <cfRule type="cellIs" dxfId="1714" priority="199" stopIfTrue="1" operator="equal">
      <formula>"M"</formula>
    </cfRule>
    <cfRule type="cellIs" dxfId="1713" priority="200" stopIfTrue="1" operator="between">
      <formula>"NB"</formula>
      <formula>"NB^"</formula>
    </cfRule>
  </conditionalFormatting>
  <conditionalFormatting sqref="AE15:AF17">
    <cfRule type="cellIs" priority="194" stopIfTrue="1" operator="equal">
      <formula>"B"</formula>
    </cfRule>
    <cfRule type="cellIs" dxfId="1712" priority="195" stopIfTrue="1" operator="equal">
      <formula>"M"</formula>
    </cfRule>
    <cfRule type="cellIs" dxfId="1711" priority="196" stopIfTrue="1" operator="equal">
      <formula>"NB"</formula>
    </cfRule>
    <cfRule type="cellIs" dxfId="1710" priority="197" stopIfTrue="1" operator="equal">
      <formula>0</formula>
    </cfRule>
  </conditionalFormatting>
  <conditionalFormatting sqref="AE6:AF8 AE15:AF21 AE27:AF27 AE30:AF35">
    <cfRule type="cellIs" priority="190" stopIfTrue="1" operator="equal">
      <formula>"B"</formula>
    </cfRule>
    <cfRule type="cellIs" dxfId="1709" priority="191" stopIfTrue="1" operator="equal">
      <formula>"M"</formula>
    </cfRule>
    <cfRule type="cellIs" dxfId="1708" priority="192" stopIfTrue="1" operator="equal">
      <formula>"NB"</formula>
    </cfRule>
    <cfRule type="cellIs" dxfId="1707" priority="193" stopIfTrue="1" operator="equal">
      <formula>0</formula>
    </cfRule>
  </conditionalFormatting>
  <conditionalFormatting sqref="E22">
    <cfRule type="cellIs" priority="171" stopIfTrue="1" operator="equal">
      <formula>"B"</formula>
    </cfRule>
    <cfRule type="cellIs" dxfId="1706" priority="172" stopIfTrue="1" operator="equal">
      <formula>"M"</formula>
    </cfRule>
    <cfRule type="cellIs" dxfId="1705" priority="173" stopIfTrue="1" operator="equal">
      <formula>"NB"</formula>
    </cfRule>
    <cfRule type="cellIs" dxfId="1704" priority="174" stopIfTrue="1" operator="equal">
      <formula>0</formula>
    </cfRule>
  </conditionalFormatting>
  <conditionalFormatting sqref="E9:E14">
    <cfRule type="cellIs" dxfId="1703" priority="168" stopIfTrue="1" operator="equal">
      <formula>"M"</formula>
    </cfRule>
    <cfRule type="cellIs" dxfId="1702" priority="169" stopIfTrue="1" operator="equal">
      <formula>"NB"</formula>
    </cfRule>
    <cfRule type="cellIs" dxfId="1701" priority="170" stopIfTrue="1" operator="equal">
      <formula>"B"</formula>
    </cfRule>
  </conditionalFormatting>
  <conditionalFormatting sqref="E6:E8 E15:E21 E23:E24 E27:E35">
    <cfRule type="cellIs" priority="164" stopIfTrue="1" operator="equal">
      <formula>"B"</formula>
    </cfRule>
    <cfRule type="cellIs" dxfId="1700" priority="165" stopIfTrue="1" operator="equal">
      <formula>"M"</formula>
    </cfRule>
    <cfRule type="cellIs" dxfId="1699" priority="166" stopIfTrue="1" operator="equal">
      <formula>"NB"</formula>
    </cfRule>
    <cfRule type="cellIs" dxfId="1698" priority="167" stopIfTrue="1" operator="equal">
      <formula>0</formula>
    </cfRule>
  </conditionalFormatting>
  <conditionalFormatting sqref="E25:E26">
    <cfRule type="cellIs" dxfId="1697" priority="161" stopIfTrue="1" operator="equal">
      <formula>"M"</formula>
    </cfRule>
    <cfRule type="cellIs" dxfId="1696" priority="162" stopIfTrue="1" operator="equal">
      <formula>"NB"</formula>
    </cfRule>
    <cfRule type="cellIs" dxfId="1695" priority="163" stopIfTrue="1" operator="equal">
      <formula>"B"</formula>
    </cfRule>
  </conditionalFormatting>
  <conditionalFormatting sqref="F22">
    <cfRule type="cellIs" priority="157" stopIfTrue="1" operator="equal">
      <formula>"B"</formula>
    </cfRule>
    <cfRule type="cellIs" dxfId="1694" priority="158" stopIfTrue="1" operator="equal">
      <formula>"M"</formula>
    </cfRule>
    <cfRule type="cellIs" dxfId="1693" priority="159" stopIfTrue="1" operator="equal">
      <formula>"NB"</formula>
    </cfRule>
    <cfRule type="cellIs" dxfId="1692" priority="160" stopIfTrue="1" operator="equal">
      <formula>0</formula>
    </cfRule>
  </conditionalFormatting>
  <conditionalFormatting sqref="F9:F14">
    <cfRule type="cellIs" dxfId="1691" priority="154" stopIfTrue="1" operator="equal">
      <formula>"M"</formula>
    </cfRule>
    <cfRule type="cellIs" dxfId="1690" priority="155" stopIfTrue="1" operator="equal">
      <formula>"NB"</formula>
    </cfRule>
    <cfRule type="cellIs" dxfId="1689" priority="156" stopIfTrue="1" operator="equal">
      <formula>"B"</formula>
    </cfRule>
  </conditionalFormatting>
  <conditionalFormatting sqref="F6:F8 F15:F21 F23:F24 F27:F35">
    <cfRule type="cellIs" priority="150" stopIfTrue="1" operator="equal">
      <formula>"B"</formula>
    </cfRule>
    <cfRule type="cellIs" dxfId="1688" priority="151" stopIfTrue="1" operator="equal">
      <formula>"M"</formula>
    </cfRule>
    <cfRule type="cellIs" dxfId="1687" priority="152" stopIfTrue="1" operator="equal">
      <formula>"NB"</formula>
    </cfRule>
    <cfRule type="cellIs" dxfId="1686" priority="153" stopIfTrue="1" operator="equal">
      <formula>0</formula>
    </cfRule>
  </conditionalFormatting>
  <conditionalFormatting sqref="F25:F26">
    <cfRule type="cellIs" dxfId="1685" priority="147" stopIfTrue="1" operator="equal">
      <formula>"M"</formula>
    </cfRule>
    <cfRule type="cellIs" dxfId="1684" priority="148" stopIfTrue="1" operator="equal">
      <formula>"NB"</formula>
    </cfRule>
    <cfRule type="cellIs" dxfId="1683" priority="149" stopIfTrue="1" operator="equal">
      <formula>"B"</formula>
    </cfRule>
  </conditionalFormatting>
  <conditionalFormatting sqref="G22:J22">
    <cfRule type="cellIs" priority="143" stopIfTrue="1" operator="equal">
      <formula>"B"</formula>
    </cfRule>
    <cfRule type="cellIs" dxfId="1682" priority="144" stopIfTrue="1" operator="equal">
      <formula>"M"</formula>
    </cfRule>
    <cfRule type="cellIs" dxfId="1681" priority="145" stopIfTrue="1" operator="equal">
      <formula>"NB"</formula>
    </cfRule>
    <cfRule type="cellIs" dxfId="1680" priority="146" stopIfTrue="1" operator="equal">
      <formula>0</formula>
    </cfRule>
  </conditionalFormatting>
  <conditionalFormatting sqref="G9:J14">
    <cfRule type="cellIs" dxfId="1679" priority="140" stopIfTrue="1" operator="equal">
      <formula>"M"</formula>
    </cfRule>
    <cfRule type="cellIs" dxfId="1678" priority="141" stopIfTrue="1" operator="equal">
      <formula>"NB"</formula>
    </cfRule>
    <cfRule type="cellIs" dxfId="1677" priority="142" stopIfTrue="1" operator="equal">
      <formula>"B"</formula>
    </cfRule>
  </conditionalFormatting>
  <conditionalFormatting sqref="G6:J8 G15:J21 G27:J35 G23:J24">
    <cfRule type="cellIs" priority="136" stopIfTrue="1" operator="equal">
      <formula>"B"</formula>
    </cfRule>
    <cfRule type="cellIs" dxfId="1676" priority="137" stopIfTrue="1" operator="equal">
      <formula>"M"</formula>
    </cfRule>
    <cfRule type="cellIs" dxfId="1675" priority="138" stopIfTrue="1" operator="equal">
      <formula>"NB"</formula>
    </cfRule>
    <cfRule type="cellIs" dxfId="1674" priority="139" stopIfTrue="1" operator="equal">
      <formula>0</formula>
    </cfRule>
  </conditionalFormatting>
  <conditionalFormatting sqref="G25:J26">
    <cfRule type="cellIs" dxfId="1673" priority="133" stopIfTrue="1" operator="equal">
      <formula>"M"</formula>
    </cfRule>
    <cfRule type="cellIs" dxfId="1672" priority="134" stopIfTrue="1" operator="equal">
      <formula>"NB"</formula>
    </cfRule>
    <cfRule type="cellIs" dxfId="1671" priority="135" stopIfTrue="1" operator="equal">
      <formula>"B"</formula>
    </cfRule>
  </conditionalFormatting>
  <conditionalFormatting sqref="K22">
    <cfRule type="cellIs" priority="129" stopIfTrue="1" operator="equal">
      <formula>"B"</formula>
    </cfRule>
    <cfRule type="cellIs" dxfId="1670" priority="130" stopIfTrue="1" operator="equal">
      <formula>"M"</formula>
    </cfRule>
    <cfRule type="cellIs" dxfId="1669" priority="131" stopIfTrue="1" operator="equal">
      <formula>"NB"</formula>
    </cfRule>
    <cfRule type="cellIs" dxfId="1668" priority="132" stopIfTrue="1" operator="equal">
      <formula>0</formula>
    </cfRule>
  </conditionalFormatting>
  <conditionalFormatting sqref="K9:K14">
    <cfRule type="cellIs" dxfId="1667" priority="126" stopIfTrue="1" operator="equal">
      <formula>"M"</formula>
    </cfRule>
    <cfRule type="cellIs" dxfId="1666" priority="127" stopIfTrue="1" operator="equal">
      <formula>"NB"</formula>
    </cfRule>
    <cfRule type="cellIs" dxfId="1665" priority="128" stopIfTrue="1" operator="equal">
      <formula>"B"</formula>
    </cfRule>
  </conditionalFormatting>
  <conditionalFormatting sqref="K6:K8 K15:K21 K27:K35 K23:K24">
    <cfRule type="cellIs" priority="122" stopIfTrue="1" operator="equal">
      <formula>"B"</formula>
    </cfRule>
    <cfRule type="cellIs" dxfId="1664" priority="123" stopIfTrue="1" operator="equal">
      <formula>"M"</formula>
    </cfRule>
    <cfRule type="cellIs" dxfId="1663" priority="124" stopIfTrue="1" operator="equal">
      <formula>"NB"</formula>
    </cfRule>
    <cfRule type="cellIs" dxfId="1662" priority="125" stopIfTrue="1" operator="equal">
      <formula>0</formula>
    </cfRule>
  </conditionalFormatting>
  <conditionalFormatting sqref="K25:K26">
    <cfRule type="cellIs" dxfId="1661" priority="119" stopIfTrue="1" operator="equal">
      <formula>"M"</formula>
    </cfRule>
    <cfRule type="cellIs" dxfId="1660" priority="120" stopIfTrue="1" operator="equal">
      <formula>"NB"</formula>
    </cfRule>
    <cfRule type="cellIs" dxfId="1659" priority="121" stopIfTrue="1" operator="equal">
      <formula>"B"</formula>
    </cfRule>
  </conditionalFormatting>
  <conditionalFormatting sqref="L22">
    <cfRule type="cellIs" priority="115" stopIfTrue="1" operator="equal">
      <formula>"B"</formula>
    </cfRule>
    <cfRule type="cellIs" dxfId="1658" priority="116" stopIfTrue="1" operator="equal">
      <formula>"M"</formula>
    </cfRule>
    <cfRule type="cellIs" dxfId="1657" priority="117" stopIfTrue="1" operator="equal">
      <formula>"NB"</formula>
    </cfRule>
    <cfRule type="cellIs" dxfId="1656" priority="118" stopIfTrue="1" operator="equal">
      <formula>0</formula>
    </cfRule>
  </conditionalFormatting>
  <conditionalFormatting sqref="L9:L14">
    <cfRule type="cellIs" dxfId="1655" priority="112" stopIfTrue="1" operator="equal">
      <formula>"M"</formula>
    </cfRule>
    <cfRule type="cellIs" dxfId="1654" priority="113" stopIfTrue="1" operator="equal">
      <formula>"NB"</formula>
    </cfRule>
    <cfRule type="cellIs" dxfId="1653" priority="114" stopIfTrue="1" operator="equal">
      <formula>"B"</formula>
    </cfRule>
  </conditionalFormatting>
  <conditionalFormatting sqref="L6:L8 L15:L21 L27:L35 L23:L24">
    <cfRule type="cellIs" priority="108" stopIfTrue="1" operator="equal">
      <formula>"B"</formula>
    </cfRule>
    <cfRule type="cellIs" dxfId="1652" priority="109" stopIfTrue="1" operator="equal">
      <formula>"M"</formula>
    </cfRule>
    <cfRule type="cellIs" dxfId="1651" priority="110" stopIfTrue="1" operator="equal">
      <formula>"NB"</formula>
    </cfRule>
    <cfRule type="cellIs" dxfId="1650" priority="111" stopIfTrue="1" operator="equal">
      <formula>0</formula>
    </cfRule>
  </conditionalFormatting>
  <conditionalFormatting sqref="L25:L26">
    <cfRule type="cellIs" dxfId="1649" priority="105" stopIfTrue="1" operator="equal">
      <formula>"M"</formula>
    </cfRule>
    <cfRule type="cellIs" dxfId="1648" priority="106" stopIfTrue="1" operator="equal">
      <formula>"NB"</formula>
    </cfRule>
    <cfRule type="cellIs" dxfId="1647" priority="107" stopIfTrue="1" operator="equal">
      <formula>"B"</formula>
    </cfRule>
  </conditionalFormatting>
  <conditionalFormatting sqref="M22:P22">
    <cfRule type="cellIs" priority="101" stopIfTrue="1" operator="equal">
      <formula>"B"</formula>
    </cfRule>
    <cfRule type="cellIs" dxfId="1646" priority="102" stopIfTrue="1" operator="equal">
      <formula>"M"</formula>
    </cfRule>
    <cfRule type="cellIs" dxfId="1645" priority="103" stopIfTrue="1" operator="equal">
      <formula>"NB"</formula>
    </cfRule>
    <cfRule type="cellIs" dxfId="1644" priority="104" stopIfTrue="1" operator="equal">
      <formula>0</formula>
    </cfRule>
  </conditionalFormatting>
  <conditionalFormatting sqref="M9:Y14">
    <cfRule type="cellIs" dxfId="1643" priority="98" stopIfTrue="1" operator="equal">
      <formula>"M"</formula>
    </cfRule>
    <cfRule type="cellIs" dxfId="1642" priority="99" stopIfTrue="1" operator="equal">
      <formula>"NB"</formula>
    </cfRule>
    <cfRule type="cellIs" dxfId="1641" priority="100" stopIfTrue="1" operator="equal">
      <formula>"B"</formula>
    </cfRule>
  </conditionalFormatting>
  <conditionalFormatting sqref="M6:P8 M15:P21 M27:P35 M23:Y24">
    <cfRule type="cellIs" priority="94" stopIfTrue="1" operator="equal">
      <formula>"B"</formula>
    </cfRule>
    <cfRule type="cellIs" dxfId="1640" priority="95" stopIfTrue="1" operator="equal">
      <formula>"M"</formula>
    </cfRule>
    <cfRule type="cellIs" dxfId="1639" priority="96" stopIfTrue="1" operator="equal">
      <formula>"NB"</formula>
    </cfRule>
    <cfRule type="cellIs" dxfId="1638" priority="97" stopIfTrue="1" operator="equal">
      <formula>0</formula>
    </cfRule>
  </conditionalFormatting>
  <conditionalFormatting sqref="M25:Y26">
    <cfRule type="cellIs" dxfId="1637" priority="91" stopIfTrue="1" operator="equal">
      <formula>"M"</formula>
    </cfRule>
    <cfRule type="cellIs" dxfId="1636" priority="92" stopIfTrue="1" operator="equal">
      <formula>"NB"</formula>
    </cfRule>
    <cfRule type="cellIs" dxfId="1635" priority="93" stopIfTrue="1" operator="equal">
      <formula>"B"</formula>
    </cfRule>
  </conditionalFormatting>
  <conditionalFormatting sqref="AA6:AA8 AA18:AA22 AA27 AA30:AA35">
    <cfRule type="cellIs" dxfId="1634" priority="87" stopIfTrue="1" operator="equal">
      <formula>"B"</formula>
    </cfRule>
    <cfRule type="cellIs" dxfId="1633" priority="88" stopIfTrue="1" operator="equal">
      <formula>"M"</formula>
    </cfRule>
    <cfRule type="cellIs" dxfId="1632" priority="89" stopIfTrue="1" operator="between">
      <formula>"NB"</formula>
      <formula>"NB^"</formula>
    </cfRule>
  </conditionalFormatting>
  <conditionalFormatting sqref="AA28:AA29">
    <cfRule type="cellIs" dxfId="1631" priority="90" stopIfTrue="1" operator="equal">
      <formula>0</formula>
    </cfRule>
  </conditionalFormatting>
  <conditionalFormatting sqref="AA15:AA17">
    <cfRule type="cellIs" priority="83" stopIfTrue="1" operator="equal">
      <formula>"B"</formula>
    </cfRule>
    <cfRule type="cellIs" dxfId="1630" priority="84" stopIfTrue="1" operator="equal">
      <formula>"M"</formula>
    </cfRule>
    <cfRule type="cellIs" dxfId="1629" priority="85" stopIfTrue="1" operator="equal">
      <formula>"NB"</formula>
    </cfRule>
    <cfRule type="cellIs" dxfId="1628" priority="86" stopIfTrue="1" operator="equal">
      <formula>0</formula>
    </cfRule>
  </conditionalFormatting>
  <conditionalFormatting sqref="AA6:AA8 AA15:AA21 AA27 AA30:AA35">
    <cfRule type="cellIs" priority="79" stopIfTrue="1" operator="equal">
      <formula>"B"</formula>
    </cfRule>
    <cfRule type="cellIs" dxfId="1627" priority="80" stopIfTrue="1" operator="equal">
      <formula>"M"</formula>
    </cfRule>
    <cfRule type="cellIs" dxfId="1626" priority="81" stopIfTrue="1" operator="equal">
      <formula>"NB"</formula>
    </cfRule>
    <cfRule type="cellIs" dxfId="1625" priority="82" stopIfTrue="1" operator="equal">
      <formula>0</formula>
    </cfRule>
  </conditionalFormatting>
  <conditionalFormatting sqref="AA9:AA14">
    <cfRule type="cellIs" dxfId="1624" priority="76" stopIfTrue="1" operator="equal">
      <formula>"M"</formula>
    </cfRule>
    <cfRule type="cellIs" dxfId="1623" priority="77" stopIfTrue="1" operator="equal">
      <formula>"NB"</formula>
    </cfRule>
    <cfRule type="cellIs" dxfId="1622" priority="78" stopIfTrue="1" operator="equal">
      <formula>"B"</formula>
    </cfRule>
  </conditionalFormatting>
  <conditionalFormatting sqref="AA23:AA24">
    <cfRule type="cellIs" priority="72" stopIfTrue="1" operator="equal">
      <formula>"B"</formula>
    </cfRule>
    <cfRule type="cellIs" dxfId="1621" priority="73" stopIfTrue="1" operator="equal">
      <formula>"M"</formula>
    </cfRule>
    <cfRule type="cellIs" dxfId="1620" priority="74" stopIfTrue="1" operator="equal">
      <formula>"NB"</formula>
    </cfRule>
    <cfRule type="cellIs" dxfId="1619" priority="75" stopIfTrue="1" operator="equal">
      <formula>0</formula>
    </cfRule>
  </conditionalFormatting>
  <conditionalFormatting sqref="AA25:AA26">
    <cfRule type="cellIs" dxfId="1618" priority="69" stopIfTrue="1" operator="equal">
      <formula>"M"</formula>
    </cfRule>
    <cfRule type="cellIs" dxfId="1617" priority="70" stopIfTrue="1" operator="equal">
      <formula>"NB"</formula>
    </cfRule>
    <cfRule type="cellIs" dxfId="1616" priority="71" stopIfTrue="1" operator="equal">
      <formula>"B"</formula>
    </cfRule>
  </conditionalFormatting>
  <conditionalFormatting sqref="AB6:AB8 AB27 AB30:AB35 AC7:AD8 AB18:AD22">
    <cfRule type="cellIs" dxfId="1615" priority="65" stopIfTrue="1" operator="equal">
      <formula>"B"</formula>
    </cfRule>
    <cfRule type="cellIs" dxfId="1614" priority="66" stopIfTrue="1" operator="equal">
      <formula>"M"</formula>
    </cfRule>
    <cfRule type="cellIs" dxfId="1613" priority="67" stopIfTrue="1" operator="between">
      <formula>"NB"</formula>
      <formula>"NB^"</formula>
    </cfRule>
  </conditionalFormatting>
  <conditionalFormatting sqref="AB28:AB29">
    <cfRule type="cellIs" dxfId="1612" priority="68" stopIfTrue="1" operator="equal">
      <formula>0</formula>
    </cfRule>
  </conditionalFormatting>
  <conditionalFormatting sqref="AB15:AD17">
    <cfRule type="cellIs" priority="61" stopIfTrue="1" operator="equal">
      <formula>"B"</formula>
    </cfRule>
    <cfRule type="cellIs" dxfId="1611" priority="62" stopIfTrue="1" operator="equal">
      <formula>"M"</formula>
    </cfRule>
    <cfRule type="cellIs" dxfId="1610" priority="63" stopIfTrue="1" operator="equal">
      <formula>"NB"</formula>
    </cfRule>
    <cfRule type="cellIs" dxfId="1609" priority="64" stopIfTrue="1" operator="equal">
      <formula>0</formula>
    </cfRule>
  </conditionalFormatting>
  <conditionalFormatting sqref="AB6:AB8 AB27 AB30:AB35 AC7:AD8 AB15:AD21">
    <cfRule type="cellIs" priority="57" stopIfTrue="1" operator="equal">
      <formula>"B"</formula>
    </cfRule>
    <cfRule type="cellIs" dxfId="1608" priority="58" stopIfTrue="1" operator="equal">
      <formula>"M"</formula>
    </cfRule>
    <cfRule type="cellIs" dxfId="1607" priority="59" stopIfTrue="1" operator="equal">
      <formula>"NB"</formula>
    </cfRule>
    <cfRule type="cellIs" dxfId="1606" priority="60" stopIfTrue="1" operator="equal">
      <formula>0</formula>
    </cfRule>
  </conditionalFormatting>
  <conditionalFormatting sqref="AB9:AF14">
    <cfRule type="cellIs" dxfId="1605" priority="54" stopIfTrue="1" operator="equal">
      <formula>"M"</formula>
    </cfRule>
    <cfRule type="cellIs" dxfId="1604" priority="55" stopIfTrue="1" operator="equal">
      <formula>"NB"</formula>
    </cfRule>
    <cfRule type="cellIs" dxfId="1603" priority="56" stopIfTrue="1" operator="equal">
      <formula>"B"</formula>
    </cfRule>
  </conditionalFormatting>
  <conditionalFormatting sqref="AB23:AF24">
    <cfRule type="cellIs" priority="50" stopIfTrue="1" operator="equal">
      <formula>"B"</formula>
    </cfRule>
    <cfRule type="cellIs" dxfId="1602" priority="51" stopIfTrue="1" operator="equal">
      <formula>"M"</formula>
    </cfRule>
    <cfRule type="cellIs" dxfId="1601" priority="52" stopIfTrue="1" operator="equal">
      <formula>"NB"</formula>
    </cfRule>
    <cfRule type="cellIs" dxfId="1600" priority="53" stopIfTrue="1" operator="equal">
      <formula>0</formula>
    </cfRule>
  </conditionalFormatting>
  <conditionalFormatting sqref="AB25:AE26">
    <cfRule type="cellIs" dxfId="1599" priority="47" stopIfTrue="1" operator="equal">
      <formula>"M"</formula>
    </cfRule>
    <cfRule type="cellIs" dxfId="1598" priority="48" stopIfTrue="1" operator="equal">
      <formula>"NB"</formula>
    </cfRule>
    <cfRule type="cellIs" dxfId="1597" priority="49" stopIfTrue="1" operator="equal">
      <formula>"B"</formula>
    </cfRule>
  </conditionalFormatting>
  <conditionalFormatting sqref="AG28:AG29">
    <cfRule type="cellIs" dxfId="1596" priority="46" stopIfTrue="1" operator="equal">
      <formula>0</formula>
    </cfRule>
  </conditionalFormatting>
  <conditionalFormatting sqref="AG25:AG26">
    <cfRule type="cellIs" priority="42" stopIfTrue="1" operator="equal">
      <formula>"B"</formula>
    </cfRule>
    <cfRule type="cellIs" dxfId="1595" priority="43" stopIfTrue="1" operator="equal">
      <formula>"M"</formula>
    </cfRule>
    <cfRule type="cellIs" dxfId="1594" priority="44" stopIfTrue="1" operator="equal">
      <formula>"NB"</formula>
    </cfRule>
    <cfRule type="cellIs" dxfId="1593" priority="45" stopIfTrue="1" operator="equal">
      <formula>0</formula>
    </cfRule>
  </conditionalFormatting>
  <conditionalFormatting sqref="AG6:AG8 AG18:AG22 AG27 AG30:AG35">
    <cfRule type="cellIs" dxfId="1592" priority="39" stopIfTrue="1" operator="equal">
      <formula>"B"</formula>
    </cfRule>
    <cfRule type="cellIs" dxfId="1591" priority="40" stopIfTrue="1" operator="equal">
      <formula>"M"</formula>
    </cfRule>
    <cfRule type="cellIs" dxfId="1590" priority="41" stopIfTrue="1" operator="between">
      <formula>"NB"</formula>
      <formula>"NB^"</formula>
    </cfRule>
  </conditionalFormatting>
  <conditionalFormatting sqref="AG15:AG17">
    <cfRule type="cellIs" priority="35" stopIfTrue="1" operator="equal">
      <formula>"B"</formula>
    </cfRule>
    <cfRule type="cellIs" dxfId="1589" priority="36" stopIfTrue="1" operator="equal">
      <formula>"M"</formula>
    </cfRule>
    <cfRule type="cellIs" dxfId="1588" priority="37" stopIfTrue="1" operator="equal">
      <formula>"NB"</formula>
    </cfRule>
    <cfRule type="cellIs" dxfId="1587" priority="38" stopIfTrue="1" operator="equal">
      <formula>0</formula>
    </cfRule>
  </conditionalFormatting>
  <conditionalFormatting sqref="AG6:AG8 AG15:AG21 AG27 AG30:AG35">
    <cfRule type="cellIs" priority="31" stopIfTrue="1" operator="equal">
      <formula>"B"</formula>
    </cfRule>
    <cfRule type="cellIs" dxfId="1586" priority="32" stopIfTrue="1" operator="equal">
      <formula>"M"</formula>
    </cfRule>
    <cfRule type="cellIs" dxfId="1585" priority="33" stopIfTrue="1" operator="equal">
      <formula>"NB"</formula>
    </cfRule>
    <cfRule type="cellIs" dxfId="1584" priority="34" stopIfTrue="1" operator="equal">
      <formula>0</formula>
    </cfRule>
  </conditionalFormatting>
  <conditionalFormatting sqref="AG9:AG14">
    <cfRule type="cellIs" dxfId="1583" priority="28" stopIfTrue="1" operator="equal">
      <formula>"M"</formula>
    </cfRule>
    <cfRule type="cellIs" dxfId="1582" priority="29" stopIfTrue="1" operator="equal">
      <formula>"NB"</formula>
    </cfRule>
    <cfRule type="cellIs" dxfId="1581" priority="30" stopIfTrue="1" operator="equal">
      <formula>"B"</formula>
    </cfRule>
  </conditionalFormatting>
  <conditionalFormatting sqref="AG23:AG24">
    <cfRule type="cellIs" priority="24" stopIfTrue="1" operator="equal">
      <formula>"B"</formula>
    </cfRule>
    <cfRule type="cellIs" dxfId="1580" priority="25" stopIfTrue="1" operator="equal">
      <formula>"M"</formula>
    </cfRule>
    <cfRule type="cellIs" dxfId="1579" priority="26" stopIfTrue="1" operator="equal">
      <formula>"NB"</formula>
    </cfRule>
    <cfRule type="cellIs" dxfId="1578" priority="27" stopIfTrue="1" operator="equal">
      <formula>0</formula>
    </cfRule>
  </conditionalFormatting>
  <conditionalFormatting sqref="AH28:AH29">
    <cfRule type="cellIs" dxfId="1577" priority="23" stopIfTrue="1" operator="equal">
      <formula>0</formula>
    </cfRule>
  </conditionalFormatting>
  <conditionalFormatting sqref="AH25:AH26">
    <cfRule type="cellIs" priority="19" stopIfTrue="1" operator="equal">
      <formula>"B"</formula>
    </cfRule>
    <cfRule type="cellIs" dxfId="1576" priority="20" stopIfTrue="1" operator="equal">
      <formula>"M"</formula>
    </cfRule>
    <cfRule type="cellIs" dxfId="1575" priority="21" stopIfTrue="1" operator="equal">
      <formula>"NB"</formula>
    </cfRule>
    <cfRule type="cellIs" dxfId="1574" priority="22" stopIfTrue="1" operator="equal">
      <formula>0</formula>
    </cfRule>
  </conditionalFormatting>
  <conditionalFormatting sqref="AH6:AH8 AH18:AH22 AH27 AH30:AH35">
    <cfRule type="cellIs" dxfId="1573" priority="16" stopIfTrue="1" operator="equal">
      <formula>"B"</formula>
    </cfRule>
    <cfRule type="cellIs" dxfId="1572" priority="17" stopIfTrue="1" operator="equal">
      <formula>"M"</formula>
    </cfRule>
    <cfRule type="cellIs" dxfId="1571" priority="18" stopIfTrue="1" operator="between">
      <formula>"NB"</formula>
      <formula>"NB^"</formula>
    </cfRule>
  </conditionalFormatting>
  <conditionalFormatting sqref="AH15:AH17">
    <cfRule type="cellIs" priority="12" stopIfTrue="1" operator="equal">
      <formula>"B"</formula>
    </cfRule>
    <cfRule type="cellIs" dxfId="1570" priority="13" stopIfTrue="1" operator="equal">
      <formula>"M"</formula>
    </cfRule>
    <cfRule type="cellIs" dxfId="1569" priority="14" stopIfTrue="1" operator="equal">
      <formula>"NB"</formula>
    </cfRule>
    <cfRule type="cellIs" dxfId="1568" priority="15" stopIfTrue="1" operator="equal">
      <formula>0</formula>
    </cfRule>
  </conditionalFormatting>
  <conditionalFormatting sqref="AH6:AH8 AH15:AH21 AH27 AH30:AH35">
    <cfRule type="cellIs" priority="8" stopIfTrue="1" operator="equal">
      <formula>"B"</formula>
    </cfRule>
    <cfRule type="cellIs" dxfId="1567" priority="9" stopIfTrue="1" operator="equal">
      <formula>"M"</formula>
    </cfRule>
    <cfRule type="cellIs" dxfId="1566" priority="10" stopIfTrue="1" operator="equal">
      <formula>"NB"</formula>
    </cfRule>
    <cfRule type="cellIs" dxfId="1565" priority="11" stopIfTrue="1" operator="equal">
      <formula>0</formula>
    </cfRule>
  </conditionalFormatting>
  <conditionalFormatting sqref="AH9:AH14">
    <cfRule type="cellIs" dxfId="1564" priority="5" stopIfTrue="1" operator="equal">
      <formula>"M"</formula>
    </cfRule>
    <cfRule type="cellIs" dxfId="1563" priority="6" stopIfTrue="1" operator="equal">
      <formula>"NB"</formula>
    </cfRule>
    <cfRule type="cellIs" dxfId="1562" priority="7" stopIfTrue="1" operator="equal">
      <formula>"B"</formula>
    </cfRule>
  </conditionalFormatting>
  <conditionalFormatting sqref="AH23:AH24">
    <cfRule type="cellIs" priority="1" stopIfTrue="1" operator="equal">
      <formula>"B"</formula>
    </cfRule>
    <cfRule type="cellIs" dxfId="1561" priority="2" stopIfTrue="1" operator="equal">
      <formula>"M"</formula>
    </cfRule>
    <cfRule type="cellIs" dxfId="1560" priority="3" stopIfTrue="1" operator="equal">
      <formula>"NB"</formula>
    </cfRule>
    <cfRule type="cellIs" dxfId="1559" priority="4" stopIfTrue="1" operator="equal">
      <formula>0</formula>
    </cfRule>
  </conditionalFormatting>
  <pageMargins left="0.75" right="0.75" top="1" bottom="1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Q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3" width="5.7109375" customWidth="1"/>
    <col min="34" max="34" width="9.42578125" style="3" bestFit="1" customWidth="1"/>
  </cols>
  <sheetData>
    <row r="1" spans="1:43" ht="19.5" customHeight="1" x14ac:dyDescent="0.35">
      <c r="A1" s="1" t="s">
        <v>0</v>
      </c>
      <c r="I1" s="2" t="s">
        <v>1</v>
      </c>
    </row>
    <row r="2" spans="1:43" ht="15" customHeight="1" x14ac:dyDescent="0.25">
      <c r="A2" s="1" t="s">
        <v>91</v>
      </c>
    </row>
    <row r="3" spans="1:43" ht="23.25" x14ac:dyDescent="0.35">
      <c r="A3" s="1" t="s">
        <v>2</v>
      </c>
      <c r="P3" s="4" t="s">
        <v>104</v>
      </c>
    </row>
    <row r="4" spans="1:43" s="5" customFormat="1" ht="15.75" customHeight="1" thickBot="1" x14ac:dyDescent="0.3">
      <c r="C4" s="6"/>
      <c r="F4" s="5" t="s">
        <v>3</v>
      </c>
      <c r="G4" s="6" t="s">
        <v>3</v>
      </c>
      <c r="M4" s="5" t="s">
        <v>3</v>
      </c>
      <c r="N4" s="6" t="s">
        <v>3</v>
      </c>
      <c r="T4" s="5" t="s">
        <v>3</v>
      </c>
      <c r="U4" s="5" t="s">
        <v>3</v>
      </c>
      <c r="AA4" s="5" t="s">
        <v>3</v>
      </c>
      <c r="AB4" s="5" t="s">
        <v>3</v>
      </c>
      <c r="AI4"/>
      <c r="AJ4"/>
      <c r="AK4"/>
      <c r="AL4"/>
      <c r="AM4"/>
      <c r="AN4"/>
      <c r="AO4"/>
      <c r="AP4"/>
      <c r="AQ4"/>
    </row>
    <row r="5" spans="1:43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9">
        <v>26</v>
      </c>
      <c r="AD5" s="9">
        <v>27</v>
      </c>
      <c r="AE5" s="9">
        <v>28</v>
      </c>
      <c r="AF5" s="9">
        <v>29</v>
      </c>
      <c r="AG5" s="9">
        <v>30</v>
      </c>
      <c r="AH5" s="11" t="s">
        <v>6</v>
      </c>
      <c r="AI5"/>
      <c r="AJ5"/>
      <c r="AK5"/>
      <c r="AL5"/>
      <c r="AM5"/>
      <c r="AN5"/>
      <c r="AO5"/>
      <c r="AP5"/>
      <c r="AQ5"/>
    </row>
    <row r="6" spans="1:43" ht="15.75" customHeight="1" x14ac:dyDescent="0.25">
      <c r="A6" s="156" t="s">
        <v>7</v>
      </c>
      <c r="B6" s="157"/>
      <c r="C6" s="158"/>
      <c r="D6" s="72" t="s">
        <v>9</v>
      </c>
      <c r="E6" s="72" t="s">
        <v>8</v>
      </c>
      <c r="F6" s="72" t="s">
        <v>9</v>
      </c>
      <c r="G6" s="72" t="s">
        <v>8</v>
      </c>
      <c r="H6" s="72" t="s">
        <v>8</v>
      </c>
      <c r="I6" s="72" t="s">
        <v>8</v>
      </c>
      <c r="J6" s="72" t="s">
        <v>8</v>
      </c>
      <c r="K6" s="72" t="s">
        <v>9</v>
      </c>
      <c r="L6" s="72" t="s">
        <v>9</v>
      </c>
      <c r="M6" s="72" t="s">
        <v>9</v>
      </c>
      <c r="N6" s="72" t="s">
        <v>9</v>
      </c>
      <c r="O6" s="72" t="s">
        <v>9</v>
      </c>
      <c r="P6" s="72" t="s">
        <v>8</v>
      </c>
      <c r="Q6" s="72" t="s">
        <v>8</v>
      </c>
      <c r="R6" s="72" t="s">
        <v>8</v>
      </c>
      <c r="S6" s="72" t="s">
        <v>8</v>
      </c>
      <c r="T6" s="72" t="s">
        <v>9</v>
      </c>
      <c r="U6" s="72" t="s">
        <v>9</v>
      </c>
      <c r="V6" s="72" t="s">
        <v>9</v>
      </c>
      <c r="W6" s="72" t="s">
        <v>8</v>
      </c>
      <c r="X6" s="72" t="s">
        <v>9</v>
      </c>
      <c r="Y6" s="72" t="s">
        <v>9</v>
      </c>
      <c r="Z6" s="72" t="s">
        <v>8</v>
      </c>
      <c r="AA6" s="72" t="s">
        <v>8</v>
      </c>
      <c r="AB6" s="72" t="s">
        <v>8</v>
      </c>
      <c r="AC6" s="72" t="s">
        <v>8</v>
      </c>
      <c r="AD6" s="72" t="s">
        <v>9</v>
      </c>
      <c r="AE6" s="72" t="s">
        <v>9</v>
      </c>
      <c r="AF6" s="72" t="s">
        <v>9</v>
      </c>
      <c r="AG6" s="72" t="s">
        <v>9</v>
      </c>
      <c r="AH6" s="13">
        <f t="shared" ref="AH6:AH35" si="0">IF(COUNTA(D6:AG6)&gt;0,(COUNTA(D6:AG6)-COUNTIF(D6:AG6,"NB")-COUNTIF(D6:AG6,"DN")-COUNTIF(D6:AG6,"An")-COUNTIF(D6:AG6,"NB^")-COUNTIF(D6:AG6,0))/COUNTA(D6:AG6),"")</f>
        <v>1</v>
      </c>
    </row>
    <row r="7" spans="1:43" ht="15.75" customHeight="1" x14ac:dyDescent="0.25">
      <c r="A7" s="180" t="s">
        <v>10</v>
      </c>
      <c r="B7" s="181"/>
      <c r="C7" s="182"/>
      <c r="D7" s="14" t="s">
        <v>11</v>
      </c>
      <c r="E7" s="14" t="s">
        <v>11</v>
      </c>
      <c r="F7" s="14" t="s">
        <v>11</v>
      </c>
      <c r="G7" s="14" t="s">
        <v>11</v>
      </c>
      <c r="H7" s="14" t="s">
        <v>11</v>
      </c>
      <c r="I7" s="14" t="s">
        <v>11</v>
      </c>
      <c r="J7" s="14" t="s">
        <v>11</v>
      </c>
      <c r="K7" s="14" t="s">
        <v>11</v>
      </c>
      <c r="L7" s="14" t="s">
        <v>11</v>
      </c>
      <c r="M7" s="14" t="s">
        <v>11</v>
      </c>
      <c r="N7" s="14" t="s">
        <v>11</v>
      </c>
      <c r="O7" s="14" t="s">
        <v>11</v>
      </c>
      <c r="P7" s="14" t="s">
        <v>11</v>
      </c>
      <c r="Q7" s="14" t="s">
        <v>11</v>
      </c>
      <c r="R7" s="14" t="s">
        <v>11</v>
      </c>
      <c r="S7" s="14" t="s">
        <v>11</v>
      </c>
      <c r="T7" s="73" t="s">
        <v>11</v>
      </c>
      <c r="U7" s="73" t="s">
        <v>11</v>
      </c>
      <c r="V7" s="73" t="s">
        <v>11</v>
      </c>
      <c r="W7" s="73" t="s">
        <v>11</v>
      </c>
      <c r="X7" s="73" t="s">
        <v>11</v>
      </c>
      <c r="Y7" s="73" t="s">
        <v>11</v>
      </c>
      <c r="Z7" s="73" t="s">
        <v>11</v>
      </c>
      <c r="AA7" s="73" t="s">
        <v>11</v>
      </c>
      <c r="AB7" s="73" t="s">
        <v>11</v>
      </c>
      <c r="AC7" s="14" t="s">
        <v>11</v>
      </c>
      <c r="AD7" s="73" t="s">
        <v>11</v>
      </c>
      <c r="AE7" s="14" t="s">
        <v>11</v>
      </c>
      <c r="AF7" s="14" t="s">
        <v>11</v>
      </c>
      <c r="AG7" s="14" t="s">
        <v>11</v>
      </c>
      <c r="AH7" s="17">
        <f t="shared" si="0"/>
        <v>1</v>
      </c>
    </row>
    <row r="8" spans="1:43" ht="15.75" customHeight="1" x14ac:dyDescent="0.25">
      <c r="A8" s="162" t="s">
        <v>93</v>
      </c>
      <c r="B8" s="163"/>
      <c r="C8" s="164"/>
      <c r="D8" s="18" t="s">
        <v>11</v>
      </c>
      <c r="E8" s="18" t="s">
        <v>11</v>
      </c>
      <c r="F8" s="18" t="s">
        <v>11</v>
      </c>
      <c r="G8" s="18" t="s">
        <v>11</v>
      </c>
      <c r="H8" s="18" t="s">
        <v>11</v>
      </c>
      <c r="I8" s="18" t="s">
        <v>11</v>
      </c>
      <c r="J8" s="18" t="s">
        <v>11</v>
      </c>
      <c r="K8" s="18" t="s">
        <v>11</v>
      </c>
      <c r="L8" s="18" t="s">
        <v>11</v>
      </c>
      <c r="M8" s="18" t="s">
        <v>11</v>
      </c>
      <c r="N8" s="18" t="s">
        <v>11</v>
      </c>
      <c r="O8" s="18" t="s">
        <v>11</v>
      </c>
      <c r="P8" s="18" t="s">
        <v>11</v>
      </c>
      <c r="Q8" s="18" t="s">
        <v>11</v>
      </c>
      <c r="R8" s="18" t="s">
        <v>11</v>
      </c>
      <c r="S8" s="18" t="s">
        <v>11</v>
      </c>
      <c r="T8" s="18" t="s">
        <v>11</v>
      </c>
      <c r="U8" s="18" t="s">
        <v>11</v>
      </c>
      <c r="V8" s="18" t="s">
        <v>11</v>
      </c>
      <c r="W8" s="18" t="s">
        <v>11</v>
      </c>
      <c r="X8" s="18" t="s">
        <v>11</v>
      </c>
      <c r="Y8" s="18" t="s">
        <v>11</v>
      </c>
      <c r="Z8" s="18" t="s">
        <v>11</v>
      </c>
      <c r="AA8" s="18" t="s">
        <v>11</v>
      </c>
      <c r="AB8" s="18" t="s">
        <v>11</v>
      </c>
      <c r="AC8" s="18" t="s">
        <v>11</v>
      </c>
      <c r="AD8" s="18" t="s">
        <v>11</v>
      </c>
      <c r="AE8" s="18" t="s">
        <v>11</v>
      </c>
      <c r="AF8" s="18" t="s">
        <v>11</v>
      </c>
      <c r="AG8" s="18" t="s">
        <v>11</v>
      </c>
      <c r="AH8" s="19">
        <f t="shared" si="0"/>
        <v>1</v>
      </c>
    </row>
    <row r="9" spans="1:43" ht="15.75" customHeight="1" x14ac:dyDescent="0.25">
      <c r="A9" s="174" t="s">
        <v>13</v>
      </c>
      <c r="B9" s="175"/>
      <c r="C9" s="176"/>
      <c r="D9" s="20" t="s">
        <v>11</v>
      </c>
      <c r="E9" s="20" t="s">
        <v>11</v>
      </c>
      <c r="F9" s="20" t="s">
        <v>11</v>
      </c>
      <c r="G9" s="20" t="s">
        <v>11</v>
      </c>
      <c r="H9" s="20" t="s">
        <v>11</v>
      </c>
      <c r="I9" s="20" t="s">
        <v>11</v>
      </c>
      <c r="J9" s="20" t="s">
        <v>11</v>
      </c>
      <c r="K9" s="20" t="s">
        <v>11</v>
      </c>
      <c r="L9" s="20" t="s">
        <v>11</v>
      </c>
      <c r="M9" s="20" t="s">
        <v>11</v>
      </c>
      <c r="N9" s="20" t="s">
        <v>11</v>
      </c>
      <c r="O9" s="20" t="s">
        <v>11</v>
      </c>
      <c r="P9" s="20" t="s">
        <v>12</v>
      </c>
      <c r="Q9" s="20" t="s">
        <v>11</v>
      </c>
      <c r="R9" s="20" t="s">
        <v>11</v>
      </c>
      <c r="S9" s="20" t="s">
        <v>11</v>
      </c>
      <c r="T9" s="20" t="s">
        <v>11</v>
      </c>
      <c r="U9" s="20" t="s">
        <v>11</v>
      </c>
      <c r="V9" s="20" t="s">
        <v>11</v>
      </c>
      <c r="W9" s="20" t="s">
        <v>11</v>
      </c>
      <c r="X9" s="20" t="s">
        <v>11</v>
      </c>
      <c r="Y9" s="20" t="s">
        <v>11</v>
      </c>
      <c r="Z9" s="20" t="s">
        <v>11</v>
      </c>
      <c r="AA9" s="20" t="s">
        <v>11</v>
      </c>
      <c r="AB9" s="20" t="s">
        <v>11</v>
      </c>
      <c r="AC9" s="20" t="s">
        <v>11</v>
      </c>
      <c r="AD9" s="20" t="s">
        <v>11</v>
      </c>
      <c r="AE9" s="20" t="s">
        <v>11</v>
      </c>
      <c r="AF9" s="79" t="s">
        <v>12</v>
      </c>
      <c r="AG9" s="79" t="s">
        <v>12</v>
      </c>
      <c r="AH9" s="13">
        <f t="shared" si="0"/>
        <v>0.9</v>
      </c>
    </row>
    <row r="10" spans="1:43" ht="15.75" customHeight="1" x14ac:dyDescent="0.25">
      <c r="A10" s="177" t="s">
        <v>14</v>
      </c>
      <c r="B10" s="178"/>
      <c r="C10" s="179"/>
      <c r="D10" s="16" t="s">
        <v>11</v>
      </c>
      <c r="E10" s="16" t="s">
        <v>11</v>
      </c>
      <c r="F10" s="16" t="s">
        <v>11</v>
      </c>
      <c r="G10" s="16" t="s">
        <v>11</v>
      </c>
      <c r="H10" s="16" t="s">
        <v>11</v>
      </c>
      <c r="I10" s="16" t="s">
        <v>11</v>
      </c>
      <c r="J10" s="16" t="s">
        <v>11</v>
      </c>
      <c r="K10" s="16" t="s">
        <v>11</v>
      </c>
      <c r="L10" s="16" t="s">
        <v>11</v>
      </c>
      <c r="M10" s="16" t="s">
        <v>11</v>
      </c>
      <c r="N10" s="16" t="s">
        <v>11</v>
      </c>
      <c r="O10" s="16" t="s">
        <v>11</v>
      </c>
      <c r="P10" s="16" t="s">
        <v>12</v>
      </c>
      <c r="Q10" s="16" t="s">
        <v>11</v>
      </c>
      <c r="R10" s="16" t="s">
        <v>11</v>
      </c>
      <c r="S10" s="16" t="s">
        <v>11</v>
      </c>
      <c r="T10" s="16" t="s">
        <v>11</v>
      </c>
      <c r="U10" s="16" t="s">
        <v>11</v>
      </c>
      <c r="V10" s="16" t="s">
        <v>11</v>
      </c>
      <c r="W10" s="16" t="s">
        <v>11</v>
      </c>
      <c r="X10" s="16" t="s">
        <v>11</v>
      </c>
      <c r="Y10" s="16" t="s">
        <v>11</v>
      </c>
      <c r="Z10" s="16" t="s">
        <v>11</v>
      </c>
      <c r="AA10" s="16" t="s">
        <v>11</v>
      </c>
      <c r="AB10" s="16" t="s">
        <v>11</v>
      </c>
      <c r="AC10" s="16" t="s">
        <v>11</v>
      </c>
      <c r="AD10" s="16" t="s">
        <v>11</v>
      </c>
      <c r="AE10" s="16" t="s">
        <v>11</v>
      </c>
      <c r="AF10" s="80" t="s">
        <v>12</v>
      </c>
      <c r="AG10" s="80" t="s">
        <v>12</v>
      </c>
      <c r="AH10" s="21">
        <f t="shared" si="0"/>
        <v>0.9</v>
      </c>
    </row>
    <row r="11" spans="1:43" ht="15.75" customHeight="1" x14ac:dyDescent="0.25">
      <c r="A11" s="177" t="s">
        <v>15</v>
      </c>
      <c r="B11" s="178"/>
      <c r="C11" s="179"/>
      <c r="D11" s="16" t="s">
        <v>11</v>
      </c>
      <c r="E11" s="16" t="s">
        <v>11</v>
      </c>
      <c r="F11" s="16" t="s">
        <v>11</v>
      </c>
      <c r="G11" s="16" t="s">
        <v>11</v>
      </c>
      <c r="H11" s="16" t="s">
        <v>11</v>
      </c>
      <c r="I11" s="16" t="s">
        <v>11</v>
      </c>
      <c r="J11" s="16" t="s">
        <v>11</v>
      </c>
      <c r="K11" s="16" t="s">
        <v>11</v>
      </c>
      <c r="L11" s="16" t="s">
        <v>11</v>
      </c>
      <c r="M11" s="16" t="s">
        <v>11</v>
      </c>
      <c r="N11" s="16" t="s">
        <v>11</v>
      </c>
      <c r="O11" s="16" t="s">
        <v>11</v>
      </c>
      <c r="P11" s="16" t="s">
        <v>12</v>
      </c>
      <c r="Q11" s="16" t="s">
        <v>11</v>
      </c>
      <c r="R11" s="16" t="s">
        <v>11</v>
      </c>
      <c r="S11" s="16" t="s">
        <v>11</v>
      </c>
      <c r="T11" s="16" t="s">
        <v>11</v>
      </c>
      <c r="U11" s="16" t="s">
        <v>11</v>
      </c>
      <c r="V11" s="16" t="s">
        <v>11</v>
      </c>
      <c r="W11" s="16" t="s">
        <v>11</v>
      </c>
      <c r="X11" s="16" t="s">
        <v>11</v>
      </c>
      <c r="Y11" s="16" t="s">
        <v>11</v>
      </c>
      <c r="Z11" s="16" t="s">
        <v>11</v>
      </c>
      <c r="AA11" s="16" t="s">
        <v>11</v>
      </c>
      <c r="AB11" s="16" t="s">
        <v>11</v>
      </c>
      <c r="AC11" s="16" t="s">
        <v>11</v>
      </c>
      <c r="AD11" s="16" t="s">
        <v>11</v>
      </c>
      <c r="AE11" s="16" t="s">
        <v>11</v>
      </c>
      <c r="AF11" s="80" t="s">
        <v>12</v>
      </c>
      <c r="AG11" s="80" t="s">
        <v>12</v>
      </c>
      <c r="AH11" s="21">
        <f t="shared" si="0"/>
        <v>0.9</v>
      </c>
    </row>
    <row r="12" spans="1:43" ht="15.75" customHeight="1" x14ac:dyDescent="0.25">
      <c r="A12" s="177" t="s">
        <v>16</v>
      </c>
      <c r="B12" s="178"/>
      <c r="C12" s="179"/>
      <c r="D12" s="16" t="s">
        <v>11</v>
      </c>
      <c r="E12" s="16" t="s">
        <v>11</v>
      </c>
      <c r="F12" s="16" t="s">
        <v>11</v>
      </c>
      <c r="G12" s="16" t="s">
        <v>11</v>
      </c>
      <c r="H12" s="16" t="s">
        <v>11</v>
      </c>
      <c r="I12" s="16" t="s">
        <v>11</v>
      </c>
      <c r="J12" s="16" t="s">
        <v>11</v>
      </c>
      <c r="K12" s="16" t="s">
        <v>11</v>
      </c>
      <c r="L12" s="16" t="s">
        <v>11</v>
      </c>
      <c r="M12" s="16" t="s">
        <v>11</v>
      </c>
      <c r="N12" s="16" t="s">
        <v>11</v>
      </c>
      <c r="O12" s="16" t="s">
        <v>11</v>
      </c>
      <c r="P12" s="16" t="s">
        <v>12</v>
      </c>
      <c r="Q12" s="16" t="s">
        <v>11</v>
      </c>
      <c r="R12" s="16" t="s">
        <v>11</v>
      </c>
      <c r="S12" s="16" t="s">
        <v>11</v>
      </c>
      <c r="T12" s="16" t="s">
        <v>11</v>
      </c>
      <c r="U12" s="16" t="s">
        <v>11</v>
      </c>
      <c r="V12" s="16" t="s">
        <v>11</v>
      </c>
      <c r="W12" s="16" t="s">
        <v>11</v>
      </c>
      <c r="X12" s="16" t="s">
        <v>11</v>
      </c>
      <c r="Y12" s="16" t="s">
        <v>11</v>
      </c>
      <c r="Z12" s="16" t="s">
        <v>11</v>
      </c>
      <c r="AA12" s="16" t="s">
        <v>11</v>
      </c>
      <c r="AB12" s="16" t="s">
        <v>11</v>
      </c>
      <c r="AC12" s="16" t="s">
        <v>11</v>
      </c>
      <c r="AD12" s="16" t="s">
        <v>11</v>
      </c>
      <c r="AE12" s="16" t="s">
        <v>11</v>
      </c>
      <c r="AF12" s="80" t="s">
        <v>12</v>
      </c>
      <c r="AG12" s="80" t="s">
        <v>12</v>
      </c>
      <c r="AH12" s="21">
        <f t="shared" si="0"/>
        <v>0.9</v>
      </c>
    </row>
    <row r="13" spans="1:43" ht="15.75" customHeight="1" x14ac:dyDescent="0.25">
      <c r="A13" s="177" t="s">
        <v>17</v>
      </c>
      <c r="B13" s="178"/>
      <c r="C13" s="179"/>
      <c r="D13" s="16" t="s">
        <v>11</v>
      </c>
      <c r="E13" s="16" t="s">
        <v>11</v>
      </c>
      <c r="F13" s="16" t="s">
        <v>11</v>
      </c>
      <c r="G13" s="16" t="s">
        <v>11</v>
      </c>
      <c r="H13" s="16" t="s">
        <v>11</v>
      </c>
      <c r="I13" s="16" t="s">
        <v>11</v>
      </c>
      <c r="J13" s="16" t="s">
        <v>11</v>
      </c>
      <c r="K13" s="16" t="s">
        <v>11</v>
      </c>
      <c r="L13" s="16" t="s">
        <v>11</v>
      </c>
      <c r="M13" s="16" t="s">
        <v>11</v>
      </c>
      <c r="N13" s="16" t="s">
        <v>11</v>
      </c>
      <c r="O13" s="16" t="s">
        <v>11</v>
      </c>
      <c r="P13" s="16" t="s">
        <v>12</v>
      </c>
      <c r="Q13" s="16" t="s">
        <v>11</v>
      </c>
      <c r="R13" s="16" t="s">
        <v>11</v>
      </c>
      <c r="S13" s="16" t="s">
        <v>11</v>
      </c>
      <c r="T13" s="16" t="s">
        <v>11</v>
      </c>
      <c r="U13" s="16" t="s">
        <v>11</v>
      </c>
      <c r="V13" s="16" t="s">
        <v>11</v>
      </c>
      <c r="W13" s="16" t="s">
        <v>11</v>
      </c>
      <c r="X13" s="16" t="s">
        <v>11</v>
      </c>
      <c r="Y13" s="16" t="s">
        <v>11</v>
      </c>
      <c r="Z13" s="16" t="s">
        <v>11</v>
      </c>
      <c r="AA13" s="16" t="s">
        <v>11</v>
      </c>
      <c r="AB13" s="16" t="s">
        <v>11</v>
      </c>
      <c r="AC13" s="16" t="s">
        <v>11</v>
      </c>
      <c r="AD13" s="16" t="s">
        <v>11</v>
      </c>
      <c r="AE13" s="16" t="s">
        <v>11</v>
      </c>
      <c r="AF13" s="80" t="s">
        <v>12</v>
      </c>
      <c r="AG13" s="80" t="s">
        <v>12</v>
      </c>
      <c r="AH13" s="21">
        <f t="shared" si="0"/>
        <v>0.9</v>
      </c>
    </row>
    <row r="14" spans="1:43" ht="15.75" customHeight="1" x14ac:dyDescent="0.25">
      <c r="A14" s="180" t="s">
        <v>18</v>
      </c>
      <c r="B14" s="181"/>
      <c r="C14" s="182"/>
      <c r="D14" s="73" t="s">
        <v>11</v>
      </c>
      <c r="E14" s="73" t="s">
        <v>11</v>
      </c>
      <c r="F14" s="73" t="s">
        <v>11</v>
      </c>
      <c r="G14" s="73" t="s">
        <v>11</v>
      </c>
      <c r="H14" s="73" t="s">
        <v>11</v>
      </c>
      <c r="I14" s="73" t="s">
        <v>11</v>
      </c>
      <c r="J14" s="73" t="s">
        <v>11</v>
      </c>
      <c r="K14" s="73" t="s">
        <v>11</v>
      </c>
      <c r="L14" s="73" t="s">
        <v>11</v>
      </c>
      <c r="M14" s="73" t="s">
        <v>11</v>
      </c>
      <c r="N14" s="73" t="s">
        <v>11</v>
      </c>
      <c r="O14" s="73" t="s">
        <v>11</v>
      </c>
      <c r="P14" s="73" t="s">
        <v>12</v>
      </c>
      <c r="Q14" s="73" t="s">
        <v>11</v>
      </c>
      <c r="R14" s="73" t="s">
        <v>11</v>
      </c>
      <c r="S14" s="73" t="s">
        <v>11</v>
      </c>
      <c r="T14" s="73" t="s">
        <v>11</v>
      </c>
      <c r="U14" s="73" t="s">
        <v>11</v>
      </c>
      <c r="V14" s="73" t="s">
        <v>11</v>
      </c>
      <c r="W14" s="73" t="s">
        <v>11</v>
      </c>
      <c r="X14" s="73" t="s">
        <v>11</v>
      </c>
      <c r="Y14" s="73" t="s">
        <v>11</v>
      </c>
      <c r="Z14" s="73" t="s">
        <v>11</v>
      </c>
      <c r="AA14" s="73" t="s">
        <v>11</v>
      </c>
      <c r="AB14" s="73" t="s">
        <v>11</v>
      </c>
      <c r="AC14" s="73" t="s">
        <v>11</v>
      </c>
      <c r="AD14" s="73" t="s">
        <v>11</v>
      </c>
      <c r="AE14" s="73" t="s">
        <v>11</v>
      </c>
      <c r="AF14" s="73" t="s">
        <v>12</v>
      </c>
      <c r="AG14" s="73" t="s">
        <v>12</v>
      </c>
      <c r="AH14" s="17">
        <f t="shared" si="0"/>
        <v>0.9</v>
      </c>
    </row>
    <row r="15" spans="1:43" ht="15.75" customHeight="1" x14ac:dyDescent="0.25">
      <c r="A15" s="174" t="s">
        <v>19</v>
      </c>
      <c r="B15" s="175"/>
      <c r="C15" s="176"/>
      <c r="D15" s="124" t="s">
        <v>11</v>
      </c>
      <c r="E15" s="124" t="s">
        <v>11</v>
      </c>
      <c r="F15" s="124" t="s">
        <v>11</v>
      </c>
      <c r="G15" s="124" t="s">
        <v>11</v>
      </c>
      <c r="H15" s="124" t="s">
        <v>11</v>
      </c>
      <c r="I15" s="124" t="s">
        <v>11</v>
      </c>
      <c r="J15" s="124" t="s">
        <v>11</v>
      </c>
      <c r="K15" s="124" t="s">
        <v>11</v>
      </c>
      <c r="L15" s="124" t="s">
        <v>11</v>
      </c>
      <c r="M15" s="124" t="s">
        <v>11</v>
      </c>
      <c r="N15" s="124" t="s">
        <v>11</v>
      </c>
      <c r="O15" s="124" t="s">
        <v>11</v>
      </c>
      <c r="P15" s="124" t="s">
        <v>11</v>
      </c>
      <c r="Q15" s="124" t="s">
        <v>11</v>
      </c>
      <c r="R15" s="124" t="s">
        <v>11</v>
      </c>
      <c r="S15" s="124" t="s">
        <v>11</v>
      </c>
      <c r="T15" s="124" t="s">
        <v>11</v>
      </c>
      <c r="U15" s="124" t="s">
        <v>11</v>
      </c>
      <c r="V15" s="124" t="s">
        <v>11</v>
      </c>
      <c r="W15" s="124" t="s">
        <v>11</v>
      </c>
      <c r="X15" s="124" t="s">
        <v>11</v>
      </c>
      <c r="Y15" s="124" t="s">
        <v>11</v>
      </c>
      <c r="Z15" s="124" t="s">
        <v>11</v>
      </c>
      <c r="AA15" s="124" t="s">
        <v>11</v>
      </c>
      <c r="AB15" s="124" t="s">
        <v>11</v>
      </c>
      <c r="AC15" s="20" t="s">
        <v>11</v>
      </c>
      <c r="AD15" s="124" t="s">
        <v>11</v>
      </c>
      <c r="AE15" s="20" t="s">
        <v>11</v>
      </c>
      <c r="AF15" s="20" t="s">
        <v>11</v>
      </c>
      <c r="AG15" s="20" t="s">
        <v>11</v>
      </c>
      <c r="AH15" s="13">
        <f t="shared" si="0"/>
        <v>1</v>
      </c>
    </row>
    <row r="16" spans="1:43" ht="15.75" customHeight="1" x14ac:dyDescent="0.25">
      <c r="A16" s="177" t="s">
        <v>20</v>
      </c>
      <c r="B16" s="178"/>
      <c r="C16" s="179"/>
      <c r="D16" s="123" t="s">
        <v>11</v>
      </c>
      <c r="E16" s="123" t="s">
        <v>11</v>
      </c>
      <c r="F16" s="123" t="s">
        <v>11</v>
      </c>
      <c r="G16" s="123" t="s">
        <v>11</v>
      </c>
      <c r="H16" s="123" t="s">
        <v>11</v>
      </c>
      <c r="I16" s="123" t="s">
        <v>11</v>
      </c>
      <c r="J16" s="123" t="s">
        <v>11</v>
      </c>
      <c r="K16" s="123" t="s">
        <v>11</v>
      </c>
      <c r="L16" s="123" t="s">
        <v>11</v>
      </c>
      <c r="M16" s="123" t="s">
        <v>11</v>
      </c>
      <c r="N16" s="123" t="s">
        <v>11</v>
      </c>
      <c r="O16" s="123" t="s">
        <v>11</v>
      </c>
      <c r="P16" s="123" t="s">
        <v>11</v>
      </c>
      <c r="Q16" s="123" t="s">
        <v>11</v>
      </c>
      <c r="R16" s="123" t="s">
        <v>11</v>
      </c>
      <c r="S16" s="123" t="s">
        <v>11</v>
      </c>
      <c r="T16" s="123" t="s">
        <v>11</v>
      </c>
      <c r="U16" s="123" t="s">
        <v>11</v>
      </c>
      <c r="V16" s="123" t="s">
        <v>11</v>
      </c>
      <c r="W16" s="123" t="s">
        <v>11</v>
      </c>
      <c r="X16" s="123" t="s">
        <v>11</v>
      </c>
      <c r="Y16" s="123" t="s">
        <v>11</v>
      </c>
      <c r="Z16" s="123" t="s">
        <v>11</v>
      </c>
      <c r="AA16" s="123" t="s">
        <v>11</v>
      </c>
      <c r="AB16" s="123" t="s">
        <v>11</v>
      </c>
      <c r="AC16" s="16" t="s">
        <v>11</v>
      </c>
      <c r="AD16" s="123" t="s">
        <v>11</v>
      </c>
      <c r="AE16" s="16" t="s">
        <v>11</v>
      </c>
      <c r="AF16" s="16" t="s">
        <v>11</v>
      </c>
      <c r="AG16" s="16" t="s">
        <v>11</v>
      </c>
      <c r="AH16" s="21">
        <f t="shared" si="0"/>
        <v>1</v>
      </c>
    </row>
    <row r="17" spans="1:34" ht="15.75" customHeight="1" x14ac:dyDescent="0.25">
      <c r="A17" s="180" t="s">
        <v>92</v>
      </c>
      <c r="B17" s="181"/>
      <c r="C17" s="182"/>
      <c r="D17" s="123" t="s">
        <v>11</v>
      </c>
      <c r="E17" s="123" t="s">
        <v>11</v>
      </c>
      <c r="F17" s="123" t="s">
        <v>11</v>
      </c>
      <c r="G17" s="123" t="s">
        <v>11</v>
      </c>
      <c r="H17" s="123" t="s">
        <v>11</v>
      </c>
      <c r="I17" s="123" t="s">
        <v>11</v>
      </c>
      <c r="J17" s="123" t="s">
        <v>11</v>
      </c>
      <c r="K17" s="123" t="s">
        <v>11</v>
      </c>
      <c r="L17" s="123" t="s">
        <v>11</v>
      </c>
      <c r="M17" s="123" t="s">
        <v>11</v>
      </c>
      <c r="N17" s="123" t="s">
        <v>11</v>
      </c>
      <c r="O17" s="123" t="s">
        <v>11</v>
      </c>
      <c r="P17" s="123" t="s">
        <v>11</v>
      </c>
      <c r="Q17" s="123" t="s">
        <v>11</v>
      </c>
      <c r="R17" s="123" t="s">
        <v>11</v>
      </c>
      <c r="S17" s="123" t="s">
        <v>11</v>
      </c>
      <c r="T17" s="123" t="s">
        <v>11</v>
      </c>
      <c r="U17" s="123" t="s">
        <v>11</v>
      </c>
      <c r="V17" s="123" t="s">
        <v>11</v>
      </c>
      <c r="W17" s="123" t="s">
        <v>11</v>
      </c>
      <c r="X17" s="123" t="s">
        <v>11</v>
      </c>
      <c r="Y17" s="123" t="s">
        <v>11</v>
      </c>
      <c r="Z17" s="123" t="s">
        <v>11</v>
      </c>
      <c r="AA17" s="123" t="s">
        <v>11</v>
      </c>
      <c r="AB17" s="123" t="s">
        <v>11</v>
      </c>
      <c r="AC17" s="16" t="s">
        <v>11</v>
      </c>
      <c r="AD17" s="123" t="s">
        <v>11</v>
      </c>
      <c r="AE17" s="16" t="s">
        <v>11</v>
      </c>
      <c r="AF17" s="16" t="s">
        <v>11</v>
      </c>
      <c r="AG17" s="16" t="s">
        <v>11</v>
      </c>
      <c r="AH17" s="17">
        <f t="shared" si="0"/>
        <v>1</v>
      </c>
    </row>
    <row r="18" spans="1:34" ht="15.75" customHeight="1" x14ac:dyDescent="0.25">
      <c r="A18" s="174" t="s">
        <v>21</v>
      </c>
      <c r="B18" s="175"/>
      <c r="C18" s="176"/>
      <c r="D18" s="79" t="s">
        <v>11</v>
      </c>
      <c r="E18" s="79" t="s">
        <v>11</v>
      </c>
      <c r="F18" s="79" t="s">
        <v>11</v>
      </c>
      <c r="G18" s="79" t="s">
        <v>11</v>
      </c>
      <c r="H18" s="79" t="s">
        <v>11</v>
      </c>
      <c r="I18" s="79" t="s">
        <v>11</v>
      </c>
      <c r="J18" s="79" t="s">
        <v>11</v>
      </c>
      <c r="K18" s="79" t="s">
        <v>11</v>
      </c>
      <c r="L18" s="79" t="s">
        <v>11</v>
      </c>
      <c r="M18" s="79" t="s">
        <v>11</v>
      </c>
      <c r="N18" s="79" t="s">
        <v>11</v>
      </c>
      <c r="O18" s="79" t="s">
        <v>11</v>
      </c>
      <c r="P18" s="79" t="s">
        <v>11</v>
      </c>
      <c r="Q18" s="79" t="s">
        <v>11</v>
      </c>
      <c r="R18" s="79" t="s">
        <v>11</v>
      </c>
      <c r="S18" s="79" t="s">
        <v>11</v>
      </c>
      <c r="T18" s="79" t="s">
        <v>11</v>
      </c>
      <c r="U18" s="79" t="s">
        <v>11</v>
      </c>
      <c r="V18" s="79" t="s">
        <v>11</v>
      </c>
      <c r="W18" s="79" t="s">
        <v>11</v>
      </c>
      <c r="X18" s="79" t="s">
        <v>11</v>
      </c>
      <c r="Y18" s="79" t="s">
        <v>11</v>
      </c>
      <c r="Z18" s="79" t="s">
        <v>11</v>
      </c>
      <c r="AA18" s="79" t="s">
        <v>11</v>
      </c>
      <c r="AB18" s="79" t="s">
        <v>11</v>
      </c>
      <c r="AC18" s="22" t="s">
        <v>11</v>
      </c>
      <c r="AD18" s="79" t="s">
        <v>11</v>
      </c>
      <c r="AE18" s="22" t="s">
        <v>11</v>
      </c>
      <c r="AF18" s="22" t="s">
        <v>11</v>
      </c>
      <c r="AG18" s="22" t="s">
        <v>11</v>
      </c>
      <c r="AH18" s="13">
        <f t="shared" si="0"/>
        <v>1</v>
      </c>
    </row>
    <row r="19" spans="1:34" ht="15.75" customHeight="1" x14ac:dyDescent="0.25">
      <c r="A19" s="177" t="s">
        <v>23</v>
      </c>
      <c r="B19" s="178"/>
      <c r="C19" s="179"/>
      <c r="D19" s="80" t="s">
        <v>11</v>
      </c>
      <c r="E19" s="80" t="s">
        <v>11</v>
      </c>
      <c r="F19" s="80" t="s">
        <v>11</v>
      </c>
      <c r="G19" s="80" t="s">
        <v>11</v>
      </c>
      <c r="H19" s="80" t="s">
        <v>11</v>
      </c>
      <c r="I19" s="80" t="s">
        <v>11</v>
      </c>
      <c r="J19" s="80" t="s">
        <v>11</v>
      </c>
      <c r="K19" s="80" t="s">
        <v>11</v>
      </c>
      <c r="L19" s="80" t="s">
        <v>11</v>
      </c>
      <c r="M19" s="80" t="s">
        <v>11</v>
      </c>
      <c r="N19" s="80" t="s">
        <v>11</v>
      </c>
      <c r="O19" s="80" t="s">
        <v>11</v>
      </c>
      <c r="P19" s="80" t="s">
        <v>11</v>
      </c>
      <c r="Q19" s="80" t="s">
        <v>11</v>
      </c>
      <c r="R19" s="80" t="s">
        <v>11</v>
      </c>
      <c r="S19" s="80" t="s">
        <v>11</v>
      </c>
      <c r="T19" s="80" t="s">
        <v>11</v>
      </c>
      <c r="U19" s="80" t="s">
        <v>11</v>
      </c>
      <c r="V19" s="80" t="s">
        <v>11</v>
      </c>
      <c r="W19" s="80" t="s">
        <v>11</v>
      </c>
      <c r="X19" s="80" t="s">
        <v>11</v>
      </c>
      <c r="Y19" s="80" t="s">
        <v>11</v>
      </c>
      <c r="Z19" s="80" t="s">
        <v>11</v>
      </c>
      <c r="AA19" s="80" t="s">
        <v>11</v>
      </c>
      <c r="AB19" s="80" t="s">
        <v>11</v>
      </c>
      <c r="AC19" s="23" t="s">
        <v>11</v>
      </c>
      <c r="AD19" s="80" t="s">
        <v>11</v>
      </c>
      <c r="AE19" s="23" t="s">
        <v>11</v>
      </c>
      <c r="AF19" s="23" t="s">
        <v>11</v>
      </c>
      <c r="AG19" s="23" t="s">
        <v>11</v>
      </c>
      <c r="AH19" s="21">
        <f t="shared" si="0"/>
        <v>1</v>
      </c>
    </row>
    <row r="20" spans="1:34" ht="15.75" customHeight="1" x14ac:dyDescent="0.25">
      <c r="A20" s="177" t="s">
        <v>24</v>
      </c>
      <c r="B20" s="178"/>
      <c r="C20" s="179"/>
      <c r="D20" s="80" t="s">
        <v>11</v>
      </c>
      <c r="E20" s="80" t="s">
        <v>11</v>
      </c>
      <c r="F20" s="80" t="s">
        <v>11</v>
      </c>
      <c r="G20" s="80" t="s">
        <v>11</v>
      </c>
      <c r="H20" s="80" t="s">
        <v>11</v>
      </c>
      <c r="I20" s="80" t="s">
        <v>11</v>
      </c>
      <c r="J20" s="80" t="s">
        <v>11</v>
      </c>
      <c r="K20" s="80" t="s">
        <v>11</v>
      </c>
      <c r="L20" s="80" t="s">
        <v>11</v>
      </c>
      <c r="M20" s="80" t="s">
        <v>11</v>
      </c>
      <c r="N20" s="80" t="s">
        <v>11</v>
      </c>
      <c r="O20" s="80" t="s">
        <v>11</v>
      </c>
      <c r="P20" s="80" t="s">
        <v>11</v>
      </c>
      <c r="Q20" s="80" t="s">
        <v>11</v>
      </c>
      <c r="R20" s="80" t="s">
        <v>11</v>
      </c>
      <c r="S20" s="80" t="s">
        <v>11</v>
      </c>
      <c r="T20" s="80" t="s">
        <v>11</v>
      </c>
      <c r="U20" s="80" t="s">
        <v>11</v>
      </c>
      <c r="V20" s="80" t="s">
        <v>11</v>
      </c>
      <c r="W20" s="80" t="s">
        <v>11</v>
      </c>
      <c r="X20" s="80" t="s">
        <v>11</v>
      </c>
      <c r="Y20" s="80" t="s">
        <v>11</v>
      </c>
      <c r="Z20" s="80" t="s">
        <v>11</v>
      </c>
      <c r="AA20" s="80" t="s">
        <v>11</v>
      </c>
      <c r="AB20" s="80" t="s">
        <v>11</v>
      </c>
      <c r="AC20" s="23" t="s">
        <v>11</v>
      </c>
      <c r="AD20" s="80" t="s">
        <v>11</v>
      </c>
      <c r="AE20" s="23" t="s">
        <v>11</v>
      </c>
      <c r="AF20" s="23" t="s">
        <v>11</v>
      </c>
      <c r="AG20" s="23" t="s">
        <v>11</v>
      </c>
      <c r="AH20" s="21">
        <f t="shared" si="0"/>
        <v>1</v>
      </c>
    </row>
    <row r="21" spans="1:34" ht="15.75" customHeight="1" x14ac:dyDescent="0.25">
      <c r="A21" s="180" t="s">
        <v>25</v>
      </c>
      <c r="B21" s="181"/>
      <c r="C21" s="182"/>
      <c r="D21" s="73" t="s">
        <v>11</v>
      </c>
      <c r="E21" s="73" t="s">
        <v>11</v>
      </c>
      <c r="F21" s="73" t="s">
        <v>11</v>
      </c>
      <c r="G21" s="73" t="s">
        <v>11</v>
      </c>
      <c r="H21" s="73" t="s">
        <v>11</v>
      </c>
      <c r="I21" s="73" t="s">
        <v>11</v>
      </c>
      <c r="J21" s="73" t="s">
        <v>11</v>
      </c>
      <c r="K21" s="73" t="s">
        <v>11</v>
      </c>
      <c r="L21" s="73" t="s">
        <v>11</v>
      </c>
      <c r="M21" s="73" t="s">
        <v>11</v>
      </c>
      <c r="N21" s="73" t="s">
        <v>11</v>
      </c>
      <c r="O21" s="73" t="s">
        <v>11</v>
      </c>
      <c r="P21" s="73" t="s">
        <v>11</v>
      </c>
      <c r="Q21" s="73" t="s">
        <v>11</v>
      </c>
      <c r="R21" s="73" t="s">
        <v>11</v>
      </c>
      <c r="S21" s="73" t="s">
        <v>11</v>
      </c>
      <c r="T21" s="73" t="s">
        <v>11</v>
      </c>
      <c r="U21" s="73" t="s">
        <v>11</v>
      </c>
      <c r="V21" s="73" t="s">
        <v>11</v>
      </c>
      <c r="W21" s="73" t="s">
        <v>11</v>
      </c>
      <c r="X21" s="73" t="s">
        <v>11</v>
      </c>
      <c r="Y21" s="73" t="s">
        <v>11</v>
      </c>
      <c r="Z21" s="73" t="s">
        <v>11</v>
      </c>
      <c r="AA21" s="73" t="s">
        <v>11</v>
      </c>
      <c r="AB21" s="73" t="s">
        <v>11</v>
      </c>
      <c r="AC21" s="14" t="s">
        <v>11</v>
      </c>
      <c r="AD21" s="73" t="s">
        <v>11</v>
      </c>
      <c r="AE21" s="14" t="s">
        <v>11</v>
      </c>
      <c r="AF21" s="14" t="s">
        <v>11</v>
      </c>
      <c r="AG21" s="14" t="s">
        <v>11</v>
      </c>
      <c r="AH21" s="17">
        <f t="shared" si="0"/>
        <v>1</v>
      </c>
    </row>
    <row r="22" spans="1:34" ht="15.75" customHeight="1" x14ac:dyDescent="0.25">
      <c r="A22" s="162" t="s">
        <v>26</v>
      </c>
      <c r="B22" s="163"/>
      <c r="C22" s="164"/>
      <c r="D22" s="24" t="s">
        <v>11</v>
      </c>
      <c r="E22" s="24" t="s">
        <v>12</v>
      </c>
      <c r="F22" s="24" t="s">
        <v>12</v>
      </c>
      <c r="G22" s="24" t="s">
        <v>11</v>
      </c>
      <c r="H22" s="24" t="s">
        <v>11</v>
      </c>
      <c r="I22" s="24" t="s">
        <v>11</v>
      </c>
      <c r="J22" s="24" t="s">
        <v>11</v>
      </c>
      <c r="K22" s="24" t="s">
        <v>11</v>
      </c>
      <c r="L22" s="24" t="s">
        <v>11</v>
      </c>
      <c r="M22" s="24" t="s">
        <v>22</v>
      </c>
      <c r="N22" s="24" t="s">
        <v>22</v>
      </c>
      <c r="O22" s="24" t="s">
        <v>22</v>
      </c>
      <c r="P22" s="24" t="s">
        <v>11</v>
      </c>
      <c r="Q22" s="24" t="s">
        <v>11</v>
      </c>
      <c r="R22" s="24" t="s">
        <v>11</v>
      </c>
      <c r="S22" s="24" t="s">
        <v>11</v>
      </c>
      <c r="T22" s="24" t="s">
        <v>11</v>
      </c>
      <c r="U22" s="81" t="s">
        <v>22</v>
      </c>
      <c r="V22" s="81" t="s">
        <v>22</v>
      </c>
      <c r="W22" s="81" t="s">
        <v>22</v>
      </c>
      <c r="X22" s="81" t="s">
        <v>11</v>
      </c>
      <c r="Y22" s="81" t="s">
        <v>11</v>
      </c>
      <c r="Z22" s="81" t="s">
        <v>11</v>
      </c>
      <c r="AA22" s="81" t="s">
        <v>11</v>
      </c>
      <c r="AB22" s="81" t="s">
        <v>11</v>
      </c>
      <c r="AC22" s="81" t="s">
        <v>11</v>
      </c>
      <c r="AD22" s="81" t="s">
        <v>11</v>
      </c>
      <c r="AE22" s="81" t="s">
        <v>11</v>
      </c>
      <c r="AF22" s="81" t="s">
        <v>22</v>
      </c>
      <c r="AG22" s="81" t="s">
        <v>22</v>
      </c>
      <c r="AH22" s="19">
        <f t="shared" si="0"/>
        <v>0.93333333333333335</v>
      </c>
    </row>
    <row r="23" spans="1:34" ht="15.75" customHeight="1" x14ac:dyDescent="0.25">
      <c r="A23" s="174" t="s">
        <v>27</v>
      </c>
      <c r="B23" s="175"/>
      <c r="C23" s="176"/>
      <c r="D23" s="22" t="s">
        <v>11</v>
      </c>
      <c r="E23" s="22" t="s">
        <v>11</v>
      </c>
      <c r="F23" s="22" t="s">
        <v>11</v>
      </c>
      <c r="G23" s="22" t="s">
        <v>11</v>
      </c>
      <c r="H23" s="22" t="s">
        <v>11</v>
      </c>
      <c r="I23" s="22" t="s">
        <v>11</v>
      </c>
      <c r="J23" s="22" t="s">
        <v>11</v>
      </c>
      <c r="K23" s="22" t="s">
        <v>11</v>
      </c>
      <c r="L23" s="22" t="s">
        <v>11</v>
      </c>
      <c r="M23" s="22" t="s">
        <v>11</v>
      </c>
      <c r="N23" s="22" t="s">
        <v>11</v>
      </c>
      <c r="O23" s="22" t="s">
        <v>11</v>
      </c>
      <c r="P23" s="22" t="s">
        <v>11</v>
      </c>
      <c r="Q23" s="22" t="s">
        <v>11</v>
      </c>
      <c r="R23" s="22" t="s">
        <v>11</v>
      </c>
      <c r="S23" s="22" t="s">
        <v>11</v>
      </c>
      <c r="T23" s="20" t="s">
        <v>11</v>
      </c>
      <c r="U23" s="20" t="s">
        <v>11</v>
      </c>
      <c r="V23" s="20" t="s">
        <v>11</v>
      </c>
      <c r="W23" s="20" t="s">
        <v>11</v>
      </c>
      <c r="X23" s="20" t="s">
        <v>11</v>
      </c>
      <c r="Y23" s="20" t="s">
        <v>11</v>
      </c>
      <c r="Z23" s="20" t="s">
        <v>11</v>
      </c>
      <c r="AA23" s="20" t="s">
        <v>11</v>
      </c>
      <c r="AB23" s="20" t="s">
        <v>11</v>
      </c>
      <c r="AC23" s="20" t="s">
        <v>11</v>
      </c>
      <c r="AD23" s="20" t="s">
        <v>11</v>
      </c>
      <c r="AE23" s="22" t="s">
        <v>11</v>
      </c>
      <c r="AF23" s="22" t="s">
        <v>11</v>
      </c>
      <c r="AG23" s="22" t="s">
        <v>12</v>
      </c>
      <c r="AH23" s="13">
        <f t="shared" si="0"/>
        <v>0.96666666666666667</v>
      </c>
    </row>
    <row r="24" spans="1:34" ht="15.75" customHeight="1" x14ac:dyDescent="0.25">
      <c r="A24" s="180" t="s">
        <v>28</v>
      </c>
      <c r="B24" s="181"/>
      <c r="C24" s="182"/>
      <c r="D24" s="14" t="s">
        <v>11</v>
      </c>
      <c r="E24" s="14" t="s">
        <v>11</v>
      </c>
      <c r="F24" s="14" t="s">
        <v>11</v>
      </c>
      <c r="G24" s="14" t="s">
        <v>11</v>
      </c>
      <c r="H24" s="14" t="s">
        <v>11</v>
      </c>
      <c r="I24" s="14" t="s">
        <v>11</v>
      </c>
      <c r="J24" s="14" t="s">
        <v>11</v>
      </c>
      <c r="K24" s="14" t="s">
        <v>11</v>
      </c>
      <c r="L24" s="14" t="s">
        <v>11</v>
      </c>
      <c r="M24" s="14" t="s">
        <v>11</v>
      </c>
      <c r="N24" s="14" t="s">
        <v>11</v>
      </c>
      <c r="O24" s="14" t="s">
        <v>11</v>
      </c>
      <c r="P24" s="14" t="s">
        <v>11</v>
      </c>
      <c r="Q24" s="14" t="s">
        <v>11</v>
      </c>
      <c r="R24" s="14" t="s">
        <v>11</v>
      </c>
      <c r="S24" s="14" t="s">
        <v>11</v>
      </c>
      <c r="T24" s="15" t="s">
        <v>11</v>
      </c>
      <c r="U24" s="15" t="s">
        <v>12</v>
      </c>
      <c r="V24" s="15" t="s">
        <v>12</v>
      </c>
      <c r="W24" s="15" t="s">
        <v>11</v>
      </c>
      <c r="X24" s="15" t="s">
        <v>11</v>
      </c>
      <c r="Y24" s="15" t="s">
        <v>11</v>
      </c>
      <c r="Z24" s="15" t="s">
        <v>11</v>
      </c>
      <c r="AA24" s="15" t="s">
        <v>11</v>
      </c>
      <c r="AB24" s="15" t="s">
        <v>11</v>
      </c>
      <c r="AC24" s="15" t="s">
        <v>11</v>
      </c>
      <c r="AD24" s="15" t="s">
        <v>11</v>
      </c>
      <c r="AE24" s="14" t="s">
        <v>11</v>
      </c>
      <c r="AF24" s="14" t="s">
        <v>11</v>
      </c>
      <c r="AG24" s="14" t="s">
        <v>12</v>
      </c>
      <c r="AH24" s="17">
        <f t="shared" si="0"/>
        <v>0.9</v>
      </c>
    </row>
    <row r="25" spans="1:34" ht="15.75" customHeight="1" x14ac:dyDescent="0.25">
      <c r="A25" s="162" t="s">
        <v>29</v>
      </c>
      <c r="B25" s="163"/>
      <c r="C25" s="164"/>
      <c r="D25" s="81" t="s">
        <v>11</v>
      </c>
      <c r="E25" s="81" t="s">
        <v>11</v>
      </c>
      <c r="F25" s="81" t="s">
        <v>11</v>
      </c>
      <c r="G25" s="81" t="s">
        <v>11</v>
      </c>
      <c r="H25" s="81" t="s">
        <v>11</v>
      </c>
      <c r="I25" s="81" t="s">
        <v>11</v>
      </c>
      <c r="J25" s="81" t="s">
        <v>11</v>
      </c>
      <c r="K25" s="81" t="s">
        <v>22</v>
      </c>
      <c r="L25" s="81" t="s">
        <v>11</v>
      </c>
      <c r="M25" s="81" t="s">
        <v>11</v>
      </c>
      <c r="N25" s="81" t="s">
        <v>11</v>
      </c>
      <c r="O25" s="81" t="s">
        <v>11</v>
      </c>
      <c r="P25" s="81" t="s">
        <v>11</v>
      </c>
      <c r="Q25" s="81" t="s">
        <v>11</v>
      </c>
      <c r="R25" s="81" t="s">
        <v>11</v>
      </c>
      <c r="S25" s="81" t="s">
        <v>11</v>
      </c>
      <c r="T25" s="81" t="s">
        <v>11</v>
      </c>
      <c r="U25" s="81" t="s">
        <v>11</v>
      </c>
      <c r="V25" s="81" t="s">
        <v>11</v>
      </c>
      <c r="W25" s="81" t="s">
        <v>11</v>
      </c>
      <c r="X25" s="81" t="s">
        <v>11</v>
      </c>
      <c r="Y25" s="81" t="s">
        <v>11</v>
      </c>
      <c r="Z25" s="81" t="s">
        <v>11</v>
      </c>
      <c r="AA25" s="81" t="s">
        <v>22</v>
      </c>
      <c r="AB25" s="25" t="s">
        <v>22</v>
      </c>
      <c r="AC25" s="81" t="s">
        <v>22</v>
      </c>
      <c r="AD25" s="81" t="s">
        <v>11</v>
      </c>
      <c r="AE25" s="81" t="s">
        <v>11</v>
      </c>
      <c r="AF25" s="81" t="s">
        <v>11</v>
      </c>
      <c r="AG25" s="81" t="s">
        <v>11</v>
      </c>
      <c r="AH25" s="19">
        <f t="shared" si="0"/>
        <v>1</v>
      </c>
    </row>
    <row r="26" spans="1:34" ht="15.75" customHeight="1" x14ac:dyDescent="0.25">
      <c r="A26" s="162" t="s">
        <v>30</v>
      </c>
      <c r="B26" s="163"/>
      <c r="C26" s="164"/>
      <c r="D26" s="81" t="s">
        <v>11</v>
      </c>
      <c r="E26" s="81" t="s">
        <v>11</v>
      </c>
      <c r="F26" s="81" t="s">
        <v>11</v>
      </c>
      <c r="G26" s="81" t="s">
        <v>11</v>
      </c>
      <c r="H26" s="81" t="s">
        <v>11</v>
      </c>
      <c r="I26" s="81" t="s">
        <v>11</v>
      </c>
      <c r="J26" s="81" t="s">
        <v>11</v>
      </c>
      <c r="K26" s="81" t="s">
        <v>22</v>
      </c>
      <c r="L26" s="81" t="s">
        <v>11</v>
      </c>
      <c r="M26" s="81" t="s">
        <v>11</v>
      </c>
      <c r="N26" s="81" t="s">
        <v>11</v>
      </c>
      <c r="O26" s="81" t="s">
        <v>11</v>
      </c>
      <c r="P26" s="81" t="s">
        <v>11</v>
      </c>
      <c r="Q26" s="81" t="s">
        <v>11</v>
      </c>
      <c r="R26" s="81" t="s">
        <v>11</v>
      </c>
      <c r="S26" s="81" t="s">
        <v>11</v>
      </c>
      <c r="T26" s="81" t="s">
        <v>11</v>
      </c>
      <c r="U26" s="81" t="s">
        <v>11</v>
      </c>
      <c r="V26" s="81" t="s">
        <v>11</v>
      </c>
      <c r="W26" s="81" t="s">
        <v>11</v>
      </c>
      <c r="X26" s="81" t="s">
        <v>11</v>
      </c>
      <c r="Y26" s="81" t="s">
        <v>11</v>
      </c>
      <c r="Z26" s="81" t="s">
        <v>11</v>
      </c>
      <c r="AA26" s="81" t="s">
        <v>22</v>
      </c>
      <c r="AB26" s="81" t="s">
        <v>22</v>
      </c>
      <c r="AC26" s="81" t="s">
        <v>22</v>
      </c>
      <c r="AD26" s="81" t="s">
        <v>11</v>
      </c>
      <c r="AE26" s="81" t="s">
        <v>11</v>
      </c>
      <c r="AF26" s="81" t="s">
        <v>11</v>
      </c>
      <c r="AG26" s="81" t="s">
        <v>11</v>
      </c>
      <c r="AH26" s="19">
        <f t="shared" si="0"/>
        <v>1</v>
      </c>
    </row>
    <row r="27" spans="1:34" ht="15.75" customHeight="1" x14ac:dyDescent="0.25">
      <c r="A27" s="156" t="s">
        <v>31</v>
      </c>
      <c r="B27" s="157"/>
      <c r="C27" s="158"/>
      <c r="D27" s="72" t="s">
        <v>9</v>
      </c>
      <c r="E27" s="72" t="s">
        <v>8</v>
      </c>
      <c r="F27" s="72" t="s">
        <v>9</v>
      </c>
      <c r="G27" s="72" t="s">
        <v>9</v>
      </c>
      <c r="H27" s="72" t="s">
        <v>8</v>
      </c>
      <c r="I27" s="72" t="s">
        <v>8</v>
      </c>
      <c r="J27" s="72" t="s">
        <v>8</v>
      </c>
      <c r="K27" s="72" t="s">
        <v>9</v>
      </c>
      <c r="L27" s="72" t="s">
        <v>9</v>
      </c>
      <c r="M27" s="72" t="s">
        <v>9</v>
      </c>
      <c r="N27" s="72" t="s">
        <v>9</v>
      </c>
      <c r="O27" s="72" t="s">
        <v>9</v>
      </c>
      <c r="P27" s="72" t="s">
        <v>8</v>
      </c>
      <c r="Q27" s="72" t="s">
        <v>8</v>
      </c>
      <c r="R27" s="72" t="s">
        <v>8</v>
      </c>
      <c r="S27" s="72" t="s">
        <v>8</v>
      </c>
      <c r="T27" s="72" t="s">
        <v>9</v>
      </c>
      <c r="U27" s="72" t="s">
        <v>9</v>
      </c>
      <c r="V27" s="72" t="s">
        <v>9</v>
      </c>
      <c r="W27" s="72" t="s">
        <v>9</v>
      </c>
      <c r="X27" s="72" t="s">
        <v>8</v>
      </c>
      <c r="Y27" s="72" t="s">
        <v>8</v>
      </c>
      <c r="Z27" s="72" t="s">
        <v>8</v>
      </c>
      <c r="AA27" s="72" t="s">
        <v>8</v>
      </c>
      <c r="AB27" s="72" t="s">
        <v>8</v>
      </c>
      <c r="AC27" s="72" t="s">
        <v>8</v>
      </c>
      <c r="AD27" s="72" t="s">
        <v>9</v>
      </c>
      <c r="AE27" s="72" t="s">
        <v>9</v>
      </c>
      <c r="AF27" s="72" t="s">
        <v>9</v>
      </c>
      <c r="AG27" s="72" t="s">
        <v>9</v>
      </c>
      <c r="AH27" s="13">
        <f t="shared" si="0"/>
        <v>1</v>
      </c>
    </row>
    <row r="28" spans="1:34" ht="15.75" customHeight="1" x14ac:dyDescent="0.25">
      <c r="A28" s="183" t="s">
        <v>32</v>
      </c>
      <c r="B28" s="184"/>
      <c r="C28" s="185"/>
      <c r="D28" s="102">
        <v>3</v>
      </c>
      <c r="E28" s="102">
        <v>3.5</v>
      </c>
      <c r="F28" s="102">
        <v>3.5</v>
      </c>
      <c r="G28" s="102">
        <v>3</v>
      </c>
      <c r="H28" s="102">
        <v>4</v>
      </c>
      <c r="I28" s="102">
        <v>3.5</v>
      </c>
      <c r="J28" s="102">
        <v>3</v>
      </c>
      <c r="K28" s="102">
        <v>3</v>
      </c>
      <c r="L28" s="102">
        <v>3</v>
      </c>
      <c r="M28" s="102">
        <v>3</v>
      </c>
      <c r="N28" s="102" t="s">
        <v>114</v>
      </c>
      <c r="O28" s="102" t="s">
        <v>114</v>
      </c>
      <c r="P28" s="102">
        <v>2</v>
      </c>
      <c r="Q28" s="102">
        <v>2</v>
      </c>
      <c r="R28" s="102">
        <v>3</v>
      </c>
      <c r="S28" s="102">
        <v>3</v>
      </c>
      <c r="T28" s="28">
        <v>3</v>
      </c>
      <c r="U28" s="28">
        <v>3</v>
      </c>
      <c r="V28" s="28">
        <v>3</v>
      </c>
      <c r="W28" s="28">
        <v>3.5</v>
      </c>
      <c r="X28" s="28" t="s">
        <v>114</v>
      </c>
      <c r="Y28" s="28">
        <v>3</v>
      </c>
      <c r="Z28" s="28">
        <v>3</v>
      </c>
      <c r="AA28" s="28">
        <v>2</v>
      </c>
      <c r="AB28" s="28">
        <v>4</v>
      </c>
      <c r="AC28" s="82">
        <v>3</v>
      </c>
      <c r="AD28" s="28">
        <v>3</v>
      </c>
      <c r="AE28" s="82">
        <v>3</v>
      </c>
      <c r="AF28" s="82">
        <v>3</v>
      </c>
      <c r="AG28" s="82">
        <v>3</v>
      </c>
      <c r="AH28" s="17">
        <f t="shared" si="0"/>
        <v>1</v>
      </c>
    </row>
    <row r="29" spans="1:34" ht="15.75" customHeight="1" x14ac:dyDescent="0.25">
      <c r="A29" s="171" t="s">
        <v>97</v>
      </c>
      <c r="B29" s="172"/>
      <c r="C29" s="173"/>
      <c r="D29" s="83">
        <v>0</v>
      </c>
      <c r="E29" s="83">
        <v>0</v>
      </c>
      <c r="F29" s="83">
        <v>0</v>
      </c>
      <c r="G29" s="83" t="s">
        <v>161</v>
      </c>
      <c r="H29" s="83" t="s">
        <v>160</v>
      </c>
      <c r="I29" s="83" t="s">
        <v>159</v>
      </c>
      <c r="J29" s="83" t="s">
        <v>158</v>
      </c>
      <c r="K29" s="83" t="s">
        <v>162</v>
      </c>
      <c r="L29" s="83" t="s">
        <v>163</v>
      </c>
      <c r="M29" s="83">
        <v>7.0000000000000007E-2</v>
      </c>
      <c r="N29" s="83">
        <v>0.01</v>
      </c>
      <c r="O29" s="83">
        <v>0.8</v>
      </c>
      <c r="P29" s="83">
        <v>0</v>
      </c>
      <c r="Q29" s="83" t="s">
        <v>164</v>
      </c>
      <c r="R29" s="83" t="s">
        <v>165</v>
      </c>
      <c r="S29" s="83" t="s">
        <v>165</v>
      </c>
      <c r="T29" s="83">
        <v>0.3</v>
      </c>
      <c r="U29" s="83">
        <v>0</v>
      </c>
      <c r="V29" s="83">
        <v>0</v>
      </c>
      <c r="W29" s="83" t="s">
        <v>163</v>
      </c>
      <c r="X29" s="83" t="s">
        <v>166</v>
      </c>
      <c r="Y29" s="83">
        <v>19.399999999999999</v>
      </c>
      <c r="Z29" s="83">
        <v>0.4</v>
      </c>
      <c r="AA29" s="83">
        <v>2.8</v>
      </c>
      <c r="AB29" s="83">
        <v>3.9</v>
      </c>
      <c r="AC29" s="83">
        <v>4.5999999999999996</v>
      </c>
      <c r="AD29" s="83">
        <v>15</v>
      </c>
      <c r="AE29" s="83" t="s">
        <v>167</v>
      </c>
      <c r="AF29" s="83" t="s">
        <v>168</v>
      </c>
      <c r="AG29" s="83" t="s">
        <v>169</v>
      </c>
      <c r="AH29" s="19">
        <f t="shared" si="0"/>
        <v>0.8</v>
      </c>
    </row>
    <row r="30" spans="1:34" ht="15.75" customHeight="1" x14ac:dyDescent="0.25">
      <c r="A30" s="153" t="s">
        <v>33</v>
      </c>
      <c r="B30" s="154"/>
      <c r="C30" s="155"/>
      <c r="D30" s="84" t="s">
        <v>9</v>
      </c>
      <c r="E30" s="84" t="s">
        <v>8</v>
      </c>
      <c r="F30" s="84" t="s">
        <v>9</v>
      </c>
      <c r="G30" s="84" t="s">
        <v>8</v>
      </c>
      <c r="H30" s="84" t="s">
        <v>8</v>
      </c>
      <c r="I30" s="84" t="s">
        <v>8</v>
      </c>
      <c r="J30" s="84" t="s">
        <v>8</v>
      </c>
      <c r="K30" s="84" t="s">
        <v>9</v>
      </c>
      <c r="L30" s="84" t="s">
        <v>9</v>
      </c>
      <c r="M30" s="84" t="s">
        <v>9</v>
      </c>
      <c r="N30" s="84" t="s">
        <v>9</v>
      </c>
      <c r="O30" s="84" t="s">
        <v>9</v>
      </c>
      <c r="P30" s="84" t="s">
        <v>8</v>
      </c>
      <c r="Q30" s="84" t="s">
        <v>8</v>
      </c>
      <c r="R30" s="84" t="s">
        <v>8</v>
      </c>
      <c r="S30" s="84" t="s">
        <v>8</v>
      </c>
      <c r="T30" s="84" t="s">
        <v>9</v>
      </c>
      <c r="U30" s="84" t="s">
        <v>9</v>
      </c>
      <c r="V30" s="84" t="s">
        <v>9</v>
      </c>
      <c r="W30" s="84" t="s">
        <v>8</v>
      </c>
      <c r="X30" s="84" t="s">
        <v>8</v>
      </c>
      <c r="Y30" s="84" t="s">
        <v>8</v>
      </c>
      <c r="Z30" s="84" t="s">
        <v>8</v>
      </c>
      <c r="AA30" s="84" t="s">
        <v>8</v>
      </c>
      <c r="AB30" s="84" t="s">
        <v>8</v>
      </c>
      <c r="AC30" s="84" t="s">
        <v>8</v>
      </c>
      <c r="AD30" s="84" t="s">
        <v>9</v>
      </c>
      <c r="AE30" s="84" t="s">
        <v>9</v>
      </c>
      <c r="AF30" s="84" t="s">
        <v>9</v>
      </c>
      <c r="AG30" s="84" t="s">
        <v>9</v>
      </c>
      <c r="AH30" s="19">
        <f t="shared" si="0"/>
        <v>1</v>
      </c>
    </row>
    <row r="31" spans="1:34" ht="15.75" customHeight="1" x14ac:dyDescent="0.25">
      <c r="A31" s="156" t="s">
        <v>34</v>
      </c>
      <c r="B31" s="157"/>
      <c r="C31" s="158"/>
      <c r="D31" s="72" t="s">
        <v>9</v>
      </c>
      <c r="E31" s="72" t="s">
        <v>8</v>
      </c>
      <c r="F31" s="72" t="s">
        <v>9</v>
      </c>
      <c r="G31" s="72" t="s">
        <v>9</v>
      </c>
      <c r="H31" s="72" t="s">
        <v>9</v>
      </c>
      <c r="I31" s="72" t="s">
        <v>9</v>
      </c>
      <c r="J31" s="72" t="s">
        <v>9</v>
      </c>
      <c r="K31" s="72" t="s">
        <v>9</v>
      </c>
      <c r="L31" s="72" t="s">
        <v>9</v>
      </c>
      <c r="M31" s="72" t="s">
        <v>9</v>
      </c>
      <c r="N31" s="72" t="s">
        <v>9</v>
      </c>
      <c r="O31" s="72" t="s">
        <v>9</v>
      </c>
      <c r="P31" s="72" t="s">
        <v>8</v>
      </c>
      <c r="Q31" s="72" t="s">
        <v>8</v>
      </c>
      <c r="R31" s="72" t="s">
        <v>8</v>
      </c>
      <c r="S31" s="72" t="s">
        <v>8</v>
      </c>
      <c r="T31" s="72" t="s">
        <v>9</v>
      </c>
      <c r="U31" s="72" t="s">
        <v>9</v>
      </c>
      <c r="V31" s="72" t="s">
        <v>9</v>
      </c>
      <c r="W31" s="72" t="s">
        <v>8</v>
      </c>
      <c r="X31" s="72" t="s">
        <v>8</v>
      </c>
      <c r="Y31" s="72" t="s">
        <v>8</v>
      </c>
      <c r="Z31" s="72" t="s">
        <v>9</v>
      </c>
      <c r="AA31" s="72" t="s">
        <v>8</v>
      </c>
      <c r="AB31" s="72" t="s">
        <v>8</v>
      </c>
      <c r="AC31" s="72" t="s">
        <v>8</v>
      </c>
      <c r="AD31" s="72" t="s">
        <v>9</v>
      </c>
      <c r="AE31" s="72" t="s">
        <v>9</v>
      </c>
      <c r="AF31" s="72" t="s">
        <v>9</v>
      </c>
      <c r="AG31" s="72" t="s">
        <v>9</v>
      </c>
      <c r="AH31" s="13">
        <f t="shared" si="0"/>
        <v>1</v>
      </c>
    </row>
    <row r="32" spans="1:34" ht="15.75" customHeight="1" x14ac:dyDescent="0.25">
      <c r="A32" s="159" t="s">
        <v>35</v>
      </c>
      <c r="B32" s="160"/>
      <c r="C32" s="161"/>
      <c r="D32" s="85" t="s">
        <v>9</v>
      </c>
      <c r="E32" s="85" t="s">
        <v>8</v>
      </c>
      <c r="F32" s="85" t="s">
        <v>9</v>
      </c>
      <c r="G32" s="85" t="s">
        <v>9</v>
      </c>
      <c r="H32" s="85" t="s">
        <v>9</v>
      </c>
      <c r="I32" s="85" t="s">
        <v>9</v>
      </c>
      <c r="J32" s="85" t="s">
        <v>9</v>
      </c>
      <c r="K32" s="85" t="s">
        <v>9</v>
      </c>
      <c r="L32" s="85" t="s">
        <v>9</v>
      </c>
      <c r="M32" s="85" t="s">
        <v>9</v>
      </c>
      <c r="N32" s="85" t="s">
        <v>9</v>
      </c>
      <c r="O32" s="85" t="s">
        <v>9</v>
      </c>
      <c r="P32" s="85" t="s">
        <v>8</v>
      </c>
      <c r="Q32" s="85" t="s">
        <v>8</v>
      </c>
      <c r="R32" s="85" t="s">
        <v>8</v>
      </c>
      <c r="S32" s="85" t="s">
        <v>8</v>
      </c>
      <c r="T32" s="85" t="s">
        <v>9</v>
      </c>
      <c r="U32" s="85" t="s">
        <v>9</v>
      </c>
      <c r="V32" s="85" t="s">
        <v>9</v>
      </c>
      <c r="W32" s="85" t="s">
        <v>8</v>
      </c>
      <c r="X32" s="85" t="s">
        <v>8</v>
      </c>
      <c r="Y32" s="85" t="s">
        <v>8</v>
      </c>
      <c r="Z32" s="85" t="s">
        <v>9</v>
      </c>
      <c r="AA32" s="85" t="s">
        <v>8</v>
      </c>
      <c r="AB32" s="85" t="s">
        <v>8</v>
      </c>
      <c r="AC32" s="85" t="s">
        <v>8</v>
      </c>
      <c r="AD32" s="85" t="s">
        <v>9</v>
      </c>
      <c r="AE32" s="85" t="s">
        <v>9</v>
      </c>
      <c r="AF32" s="85" t="s">
        <v>9</v>
      </c>
      <c r="AG32" s="85" t="s">
        <v>9</v>
      </c>
      <c r="AH32" s="17">
        <f t="shared" si="0"/>
        <v>1</v>
      </c>
    </row>
    <row r="33" spans="1:43" ht="15.75" customHeight="1" x14ac:dyDescent="0.25">
      <c r="A33" s="162" t="s">
        <v>36</v>
      </c>
      <c r="B33" s="163"/>
      <c r="C33" s="164"/>
      <c r="D33" s="24" t="s">
        <v>11</v>
      </c>
      <c r="E33" s="24" t="s">
        <v>11</v>
      </c>
      <c r="F33" s="24" t="s">
        <v>11</v>
      </c>
      <c r="G33" s="24" t="s">
        <v>11</v>
      </c>
      <c r="H33" s="24" t="s">
        <v>11</v>
      </c>
      <c r="I33" s="24" t="s">
        <v>11</v>
      </c>
      <c r="J33" s="24" t="s">
        <v>11</v>
      </c>
      <c r="K33" s="24" t="s">
        <v>11</v>
      </c>
      <c r="L33" s="24" t="s">
        <v>11</v>
      </c>
      <c r="M33" s="24" t="s">
        <v>11</v>
      </c>
      <c r="N33" s="24" t="s">
        <v>11</v>
      </c>
      <c r="O33" s="24" t="s">
        <v>11</v>
      </c>
      <c r="P33" s="24" t="s">
        <v>11</v>
      </c>
      <c r="Q33" s="24" t="s">
        <v>11</v>
      </c>
      <c r="R33" s="24" t="s">
        <v>11</v>
      </c>
      <c r="S33" s="24" t="s">
        <v>11</v>
      </c>
      <c r="T33" s="81" t="s">
        <v>11</v>
      </c>
      <c r="U33" s="81" t="s">
        <v>11</v>
      </c>
      <c r="V33" s="81" t="s">
        <v>11</v>
      </c>
      <c r="W33" s="81" t="s">
        <v>11</v>
      </c>
      <c r="X33" s="81" t="s">
        <v>11</v>
      </c>
      <c r="Y33" s="81" t="s">
        <v>11</v>
      </c>
      <c r="Z33" s="81" t="s">
        <v>11</v>
      </c>
      <c r="AA33" s="81" t="s">
        <v>11</v>
      </c>
      <c r="AB33" s="81" t="s">
        <v>11</v>
      </c>
      <c r="AC33" s="25" t="s">
        <v>11</v>
      </c>
      <c r="AD33" s="81" t="s">
        <v>11</v>
      </c>
      <c r="AE33" s="25" t="s">
        <v>11</v>
      </c>
      <c r="AF33" s="25" t="s">
        <v>11</v>
      </c>
      <c r="AG33" s="25" t="s">
        <v>11</v>
      </c>
      <c r="AH33" s="19">
        <f t="shared" si="0"/>
        <v>1</v>
      </c>
    </row>
    <row r="34" spans="1:43" ht="15.75" customHeight="1" x14ac:dyDescent="0.25">
      <c r="A34" s="162" t="s">
        <v>95</v>
      </c>
      <c r="B34" s="163"/>
      <c r="C34" s="164"/>
      <c r="D34" s="24" t="s">
        <v>11</v>
      </c>
      <c r="E34" s="24" t="s">
        <v>11</v>
      </c>
      <c r="F34" s="24" t="s">
        <v>11</v>
      </c>
      <c r="G34" s="24" t="s">
        <v>11</v>
      </c>
      <c r="H34" s="24" t="s">
        <v>11</v>
      </c>
      <c r="I34" s="24" t="s">
        <v>11</v>
      </c>
      <c r="J34" s="24" t="s">
        <v>11</v>
      </c>
      <c r="K34" s="24" t="s">
        <v>11</v>
      </c>
      <c r="L34" s="24" t="s">
        <v>11</v>
      </c>
      <c r="M34" s="24" t="s">
        <v>11</v>
      </c>
      <c r="N34" s="24" t="s">
        <v>11</v>
      </c>
      <c r="O34" s="24" t="s">
        <v>11</v>
      </c>
      <c r="P34" s="24" t="s">
        <v>11</v>
      </c>
      <c r="Q34" s="24" t="s">
        <v>11</v>
      </c>
      <c r="R34" s="24" t="s">
        <v>11</v>
      </c>
      <c r="S34" s="24" t="s">
        <v>11</v>
      </c>
      <c r="T34" s="81" t="s">
        <v>11</v>
      </c>
      <c r="U34" s="81" t="s">
        <v>11</v>
      </c>
      <c r="V34" s="81" t="s">
        <v>11</v>
      </c>
      <c r="W34" s="81" t="s">
        <v>11</v>
      </c>
      <c r="X34" s="81" t="s">
        <v>11</v>
      </c>
      <c r="Y34" s="81" t="s">
        <v>11</v>
      </c>
      <c r="Z34" s="81" t="s">
        <v>11</v>
      </c>
      <c r="AA34" s="81" t="s">
        <v>22</v>
      </c>
      <c r="AB34" s="81" t="s">
        <v>22</v>
      </c>
      <c r="AC34" s="24" t="s">
        <v>11</v>
      </c>
      <c r="AD34" s="81" t="s">
        <v>11</v>
      </c>
      <c r="AE34" s="24" t="s">
        <v>11</v>
      </c>
      <c r="AF34" s="24" t="s">
        <v>11</v>
      </c>
      <c r="AG34" s="24" t="s">
        <v>11</v>
      </c>
      <c r="AH34" s="19">
        <f>IF(COUNTA(D34:AG34)&gt;0,(COUNTA(D34:AG34)-COUNTIF(D34:AG34,"NB")-COUNTIF(D34:AG34,"DN")-COUNTIF(D34:AG34,"An")-COUNTIF(D34:AG34,"NB^")-COUNTIF(D34:AG34,0))/COUNTA(D34:AG34),"")</f>
        <v>1</v>
      </c>
    </row>
    <row r="35" spans="1:43" ht="15.75" customHeight="1" thickBot="1" x14ac:dyDescent="0.3">
      <c r="A35" s="165" t="s">
        <v>96</v>
      </c>
      <c r="B35" s="166"/>
      <c r="C35" s="167"/>
      <c r="D35" s="103" t="s">
        <v>11</v>
      </c>
      <c r="E35" s="103" t="s">
        <v>11</v>
      </c>
      <c r="F35" s="103" t="s">
        <v>11</v>
      </c>
      <c r="G35" s="103" t="s">
        <v>11</v>
      </c>
      <c r="H35" s="103" t="s">
        <v>11</v>
      </c>
      <c r="I35" s="103" t="s">
        <v>11</v>
      </c>
      <c r="J35" s="103" t="s">
        <v>11</v>
      </c>
      <c r="K35" s="103" t="s">
        <v>11</v>
      </c>
      <c r="L35" s="103" t="s">
        <v>11</v>
      </c>
      <c r="M35" s="103" t="s">
        <v>11</v>
      </c>
      <c r="N35" s="103" t="s">
        <v>11</v>
      </c>
      <c r="O35" s="103" t="s">
        <v>11</v>
      </c>
      <c r="P35" s="103" t="s">
        <v>11</v>
      </c>
      <c r="Q35" s="103" t="s">
        <v>11</v>
      </c>
      <c r="R35" s="103" t="s">
        <v>11</v>
      </c>
      <c r="S35" s="103" t="s">
        <v>11</v>
      </c>
      <c r="T35" s="95" t="s">
        <v>11</v>
      </c>
      <c r="U35" s="95" t="s">
        <v>11</v>
      </c>
      <c r="V35" s="95" t="s">
        <v>11</v>
      </c>
      <c r="W35" s="95" t="s">
        <v>11</v>
      </c>
      <c r="X35" s="95" t="s">
        <v>11</v>
      </c>
      <c r="Y35" s="95" t="s">
        <v>11</v>
      </c>
      <c r="Z35" s="95" t="s">
        <v>11</v>
      </c>
      <c r="AA35" s="95" t="s">
        <v>22</v>
      </c>
      <c r="AB35" s="95" t="s">
        <v>22</v>
      </c>
      <c r="AC35" s="96" t="s">
        <v>11</v>
      </c>
      <c r="AD35" s="95" t="s">
        <v>11</v>
      </c>
      <c r="AE35" s="96" t="s">
        <v>11</v>
      </c>
      <c r="AF35" s="96" t="s">
        <v>11</v>
      </c>
      <c r="AG35" s="96" t="s">
        <v>11</v>
      </c>
      <c r="AH35" s="98">
        <f t="shared" si="0"/>
        <v>1</v>
      </c>
    </row>
    <row r="36" spans="1:43" s="32" customFormat="1" ht="15.75" customHeight="1" x14ac:dyDescent="0.25">
      <c r="A36" s="150" t="s">
        <v>37</v>
      </c>
      <c r="B36" s="151"/>
      <c r="C36" s="152"/>
      <c r="D36" s="79">
        <v>50</v>
      </c>
      <c r="E36" s="79">
        <v>95</v>
      </c>
      <c r="F36" s="79">
        <v>0</v>
      </c>
      <c r="G36" s="79">
        <v>0</v>
      </c>
      <c r="H36" s="79">
        <v>25</v>
      </c>
      <c r="I36" s="79">
        <v>80</v>
      </c>
      <c r="J36" s="79">
        <v>80</v>
      </c>
      <c r="K36" s="79">
        <v>50</v>
      </c>
      <c r="L36" s="79">
        <v>30</v>
      </c>
      <c r="M36" s="79">
        <v>0</v>
      </c>
      <c r="N36" s="79">
        <v>0</v>
      </c>
      <c r="O36" s="79">
        <v>0</v>
      </c>
      <c r="P36" s="79">
        <v>0</v>
      </c>
      <c r="Q36" s="79">
        <v>0</v>
      </c>
      <c r="R36" s="79">
        <v>70</v>
      </c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33"/>
      <c r="AI36"/>
      <c r="AJ36"/>
      <c r="AK36"/>
      <c r="AL36"/>
      <c r="AM36"/>
      <c r="AN36"/>
      <c r="AO36"/>
      <c r="AP36"/>
      <c r="AQ36"/>
    </row>
    <row r="37" spans="1:43" ht="15.75" customHeight="1" thickBot="1" x14ac:dyDescent="0.3">
      <c r="A37" s="168" t="s">
        <v>38</v>
      </c>
      <c r="B37" s="169"/>
      <c r="C37" s="170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100"/>
      <c r="R37" s="34"/>
      <c r="S37" s="34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35"/>
    </row>
    <row r="38" spans="1:43" ht="15.75" hidden="1" customHeight="1" x14ac:dyDescent="0.25">
      <c r="A38" s="32"/>
      <c r="B38" s="36"/>
      <c r="C38" s="36"/>
      <c r="D38" s="37"/>
      <c r="E38" s="37"/>
      <c r="F38" s="37"/>
      <c r="G38" s="37"/>
      <c r="H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5"/>
    </row>
    <row r="39" spans="1:43" ht="15.75" hidden="1" customHeight="1" x14ac:dyDescent="0.25"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43" ht="15.75" customHeight="1" thickBot="1" x14ac:dyDescent="0.3">
      <c r="D40" s="39"/>
      <c r="J40" s="104"/>
    </row>
    <row r="41" spans="1:43" ht="15.75" customHeight="1" thickBot="1" x14ac:dyDescent="0.3">
      <c r="A41" s="147" t="s">
        <v>39</v>
      </c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</row>
    <row r="42" spans="1:43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</row>
    <row r="43" spans="1:43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</row>
    <row r="44" spans="1:43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</row>
    <row r="45" spans="1:43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</row>
    <row r="46" spans="1:43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</row>
    <row r="47" spans="1:43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</row>
    <row r="48" spans="1:43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</row>
    <row r="49" spans="1:34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</row>
    <row r="50" spans="1:34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COUNTA(D5:AG5)</f>
        <v>30</v>
      </c>
      <c r="AH50"/>
    </row>
    <row r="51" spans="1:34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COUNTIF(D38:AG38,"AB")</f>
        <v>0</v>
      </c>
      <c r="AH51"/>
    </row>
    <row r="52" spans="1:34" ht="15.75" customHeight="1" x14ac:dyDescent="0.25">
      <c r="A52" s="54" t="s">
        <v>82</v>
      </c>
      <c r="B52" t="s">
        <v>83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30</v>
      </c>
      <c r="AH52"/>
    </row>
    <row r="53" spans="1:34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COUNTIF(D39:AG39,"ANB")</f>
        <v>0</v>
      </c>
      <c r="AH53"/>
    </row>
    <row r="54" spans="1:34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/>
    </row>
    <row r="55" spans="1:34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/>
    </row>
    <row r="56" spans="1:34" ht="15.75" customHeight="1" x14ac:dyDescent="0.25">
      <c r="AH56"/>
    </row>
    <row r="57" spans="1:34" ht="15.75" customHeight="1" x14ac:dyDescent="0.25">
      <c r="AH57"/>
    </row>
    <row r="58" spans="1:34" ht="15.75" customHeight="1" x14ac:dyDescent="0.25">
      <c r="AH58"/>
    </row>
    <row r="59" spans="1:34" ht="15.75" customHeight="1" x14ac:dyDescent="0.25">
      <c r="AH59"/>
    </row>
  </sheetData>
  <mergeCells count="33"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34:C34"/>
    <mergeCell ref="A37:C37"/>
    <mergeCell ref="A41:AG41"/>
    <mergeCell ref="A30:C30"/>
    <mergeCell ref="A31:C31"/>
    <mergeCell ref="A32:C32"/>
    <mergeCell ref="A33:C33"/>
    <mergeCell ref="A35:C35"/>
    <mergeCell ref="A36:C36"/>
  </mergeCells>
  <conditionalFormatting sqref="D36:F36 AC22 K36:N36 Q36:AG36 AC25:AC26 AE18:AF21 AE6:AF8 AF9:AF14 AE23:AF27 AF22 AE30:AG32 AE34:AG35 AG6:AG14 AG18:AG27">
    <cfRule type="cellIs" dxfId="1558" priority="479" stopIfTrue="1" operator="equal">
      <formula>"B"</formula>
    </cfRule>
    <cfRule type="cellIs" dxfId="1557" priority="480" stopIfTrue="1" operator="equal">
      <formula>"M"</formula>
    </cfRule>
    <cfRule type="cellIs" dxfId="1556" priority="481" stopIfTrue="1" operator="between">
      <formula>"NB"</formula>
      <formula>"NB^"</formula>
    </cfRule>
  </conditionalFormatting>
  <conditionalFormatting sqref="AE28:AG29">
    <cfRule type="cellIs" dxfId="1555" priority="482" stopIfTrue="1" operator="equal">
      <formula>0</formula>
    </cfRule>
  </conditionalFormatting>
  <conditionalFormatting sqref="AE15:AG17">
    <cfRule type="cellIs" dxfId="1554" priority="463" stopIfTrue="1" operator="equal">
      <formula>"B"</formula>
    </cfRule>
    <cfRule type="cellIs" dxfId="1553" priority="464" stopIfTrue="1" operator="equal">
      <formula>"M"</formula>
    </cfRule>
    <cfRule type="cellIs" dxfId="1552" priority="465" stopIfTrue="1" operator="between">
      <formula>"NB"</formula>
      <formula>"NB^"</formula>
    </cfRule>
  </conditionalFormatting>
  <conditionalFormatting sqref="G36:J36">
    <cfRule type="cellIs" dxfId="1551" priority="420" stopIfTrue="1" operator="equal">
      <formula>"B"</formula>
    </cfRule>
    <cfRule type="cellIs" dxfId="1550" priority="421" stopIfTrue="1" operator="equal">
      <formula>"M"</formula>
    </cfRule>
    <cfRule type="cellIs" dxfId="1549" priority="422" stopIfTrue="1" operator="between">
      <formula>"NB"</formula>
      <formula>"NB^"</formula>
    </cfRule>
  </conditionalFormatting>
  <conditionalFormatting sqref="AC30:AC32 AC34:AC35 AC27">
    <cfRule type="cellIs" dxfId="1548" priority="413" stopIfTrue="1" operator="equal">
      <formula>"B"</formula>
    </cfRule>
    <cfRule type="cellIs" dxfId="1547" priority="414" stopIfTrue="1" operator="equal">
      <formula>"M"</formula>
    </cfRule>
    <cfRule type="cellIs" dxfId="1546" priority="415" stopIfTrue="1" operator="between">
      <formula>"NB"</formula>
      <formula>"NB^"</formula>
    </cfRule>
  </conditionalFormatting>
  <conditionalFormatting sqref="AC28:AC29">
    <cfRule type="cellIs" dxfId="1545" priority="416" stopIfTrue="1" operator="equal">
      <formula>0</formula>
    </cfRule>
  </conditionalFormatting>
  <conditionalFormatting sqref="O36:P36">
    <cfRule type="cellIs" dxfId="1544" priority="374" stopIfTrue="1" operator="equal">
      <formula>"B"</formula>
    </cfRule>
    <cfRule type="cellIs" dxfId="1543" priority="375" stopIfTrue="1" operator="equal">
      <formula>"M"</formula>
    </cfRule>
    <cfRule type="cellIs" dxfId="1542" priority="376" stopIfTrue="1" operator="between">
      <formula>"NB"</formula>
      <formula>"NB^"</formula>
    </cfRule>
  </conditionalFormatting>
  <conditionalFormatting sqref="AC6:AC8 AC18:AC21 AC33 AE33:AG33">
    <cfRule type="cellIs" dxfId="1541" priority="363" stopIfTrue="1" operator="equal">
      <formula>"B"</formula>
    </cfRule>
    <cfRule type="cellIs" dxfId="1540" priority="364" stopIfTrue="1" operator="equal">
      <formula>"M"</formula>
    </cfRule>
    <cfRule type="cellIs" dxfId="1539" priority="365" stopIfTrue="1" operator="between">
      <formula>"NB"</formula>
      <formula>"NB^"</formula>
    </cfRule>
  </conditionalFormatting>
  <conditionalFormatting sqref="AC15:AC17">
    <cfRule type="cellIs" dxfId="1538" priority="360" stopIfTrue="1" operator="equal">
      <formula>"B"</formula>
    </cfRule>
    <cfRule type="cellIs" dxfId="1537" priority="361" stopIfTrue="1" operator="equal">
      <formula>"M"</formula>
    </cfRule>
    <cfRule type="cellIs" dxfId="1536" priority="362" stopIfTrue="1" operator="between">
      <formula>"NB"</formula>
      <formula>"NB^"</formula>
    </cfRule>
  </conditionalFormatting>
  <conditionalFormatting sqref="D25:D26">
    <cfRule type="cellIs" dxfId="1535" priority="292" stopIfTrue="1" operator="equal">
      <formula>"B"</formula>
    </cfRule>
    <cfRule type="cellIs" dxfId="1534" priority="293" stopIfTrue="1" operator="equal">
      <formula>"M"</formula>
    </cfRule>
    <cfRule type="cellIs" dxfId="1533" priority="294" stopIfTrue="1" operator="between">
      <formula>"NB"</formula>
      <formula>"NB^"</formula>
    </cfRule>
  </conditionalFormatting>
  <conditionalFormatting sqref="D18:D22 D30:D35 D27 D6:D14">
    <cfRule type="cellIs" dxfId="1532" priority="288" stopIfTrue="1" operator="equal">
      <formula>"B"</formula>
    </cfRule>
    <cfRule type="cellIs" dxfId="1531" priority="289" stopIfTrue="1" operator="equal">
      <formula>"M"</formula>
    </cfRule>
    <cfRule type="cellIs" dxfId="1530" priority="290" stopIfTrue="1" operator="between">
      <formula>"NB"</formula>
      <formula>"NB^"</formula>
    </cfRule>
  </conditionalFormatting>
  <conditionalFormatting sqref="D28:D29">
    <cfRule type="cellIs" dxfId="1529" priority="291" stopIfTrue="1" operator="equal">
      <formula>0</formula>
    </cfRule>
  </conditionalFormatting>
  <conditionalFormatting sqref="D15:D17">
    <cfRule type="cellIs" priority="284" stopIfTrue="1" operator="equal">
      <formula>"B"</formula>
    </cfRule>
    <cfRule type="cellIs" dxfId="1528" priority="285" stopIfTrue="1" operator="equal">
      <formula>"M"</formula>
    </cfRule>
    <cfRule type="cellIs" dxfId="1527" priority="286" stopIfTrue="1" operator="equal">
      <formula>"NB"</formula>
    </cfRule>
    <cfRule type="cellIs" dxfId="1526" priority="287" stopIfTrue="1" operator="equal">
      <formula>0</formula>
    </cfRule>
  </conditionalFormatting>
  <conditionalFormatting sqref="D23:D24">
    <cfRule type="cellIs" priority="280" stopIfTrue="1" operator="equal">
      <formula>"B"</formula>
    </cfRule>
    <cfRule type="cellIs" dxfId="1525" priority="281" stopIfTrue="1" operator="equal">
      <formula>"M"</formula>
    </cfRule>
    <cfRule type="cellIs" dxfId="1524" priority="282" stopIfTrue="1" operator="equal">
      <formula>"NB"</formula>
    </cfRule>
    <cfRule type="cellIs" dxfId="1523" priority="283" stopIfTrue="1" operator="equal">
      <formula>0</formula>
    </cfRule>
  </conditionalFormatting>
  <conditionalFormatting sqref="F25:G26">
    <cfRule type="cellIs" dxfId="1522" priority="277" stopIfTrue="1" operator="equal">
      <formula>"B"</formula>
    </cfRule>
    <cfRule type="cellIs" dxfId="1521" priority="278" stopIfTrue="1" operator="equal">
      <formula>"M"</formula>
    </cfRule>
    <cfRule type="cellIs" dxfId="1520" priority="279" stopIfTrue="1" operator="between">
      <formula>"NB"</formula>
      <formula>"NB^"</formula>
    </cfRule>
  </conditionalFormatting>
  <conditionalFormatting sqref="F18:G22 F30:G35 F27:G27 F6:G14">
    <cfRule type="cellIs" dxfId="1519" priority="273" stopIfTrue="1" operator="equal">
      <formula>"B"</formula>
    </cfRule>
    <cfRule type="cellIs" dxfId="1518" priority="274" stopIfTrue="1" operator="equal">
      <formula>"M"</formula>
    </cfRule>
    <cfRule type="cellIs" dxfId="1517" priority="275" stopIfTrue="1" operator="between">
      <formula>"NB"</formula>
      <formula>"NB^"</formula>
    </cfRule>
  </conditionalFormatting>
  <conditionalFormatting sqref="F28:G29">
    <cfRule type="cellIs" dxfId="1516" priority="276" stopIfTrue="1" operator="equal">
      <formula>0</formula>
    </cfRule>
  </conditionalFormatting>
  <conditionalFormatting sqref="F15:G17">
    <cfRule type="cellIs" priority="269" stopIfTrue="1" operator="equal">
      <formula>"B"</formula>
    </cfRule>
    <cfRule type="cellIs" dxfId="1515" priority="270" stopIfTrue="1" operator="equal">
      <formula>"M"</formula>
    </cfRule>
    <cfRule type="cellIs" dxfId="1514" priority="271" stopIfTrue="1" operator="equal">
      <formula>"NB"</formula>
    </cfRule>
    <cfRule type="cellIs" dxfId="1513" priority="272" stopIfTrue="1" operator="equal">
      <formula>0</formula>
    </cfRule>
  </conditionalFormatting>
  <conditionalFormatting sqref="F23:G24">
    <cfRule type="cellIs" priority="265" stopIfTrue="1" operator="equal">
      <formula>"B"</formula>
    </cfRule>
    <cfRule type="cellIs" dxfId="1512" priority="266" stopIfTrue="1" operator="equal">
      <formula>"M"</formula>
    </cfRule>
    <cfRule type="cellIs" dxfId="1511" priority="267" stopIfTrue="1" operator="equal">
      <formula>"NB"</formula>
    </cfRule>
    <cfRule type="cellIs" dxfId="1510" priority="268" stopIfTrue="1" operator="equal">
      <formula>0</formula>
    </cfRule>
  </conditionalFormatting>
  <conditionalFormatting sqref="T23:U24">
    <cfRule type="cellIs" dxfId="1509" priority="226" stopIfTrue="1" operator="equal">
      <formula>"B"</formula>
    </cfRule>
    <cfRule type="cellIs" dxfId="1508" priority="227" stopIfTrue="1" operator="equal">
      <formula>"M"</formula>
    </cfRule>
    <cfRule type="cellIs" dxfId="1507" priority="228" stopIfTrue="1" operator="between">
      <formula>"NB"</formula>
      <formula>"NB^"</formula>
    </cfRule>
  </conditionalFormatting>
  <conditionalFormatting sqref="U22 T6:U8 T27:U27 T30:U35">
    <cfRule type="cellIs" dxfId="1506" priority="222" stopIfTrue="1" operator="equal">
      <formula>"B"</formula>
    </cfRule>
    <cfRule type="cellIs" dxfId="1505" priority="223" stopIfTrue="1" operator="equal">
      <formula>"M"</formula>
    </cfRule>
    <cfRule type="cellIs" dxfId="1504" priority="224" stopIfTrue="1" operator="between">
      <formula>"NB"</formula>
      <formula>"NB^"</formula>
    </cfRule>
  </conditionalFormatting>
  <conditionalFormatting sqref="T28:U29">
    <cfRule type="cellIs" dxfId="1503" priority="225" stopIfTrue="1" operator="equal">
      <formula>0</formula>
    </cfRule>
  </conditionalFormatting>
  <conditionalFormatting sqref="T18:U21 T9:U14">
    <cfRule type="cellIs" dxfId="1502" priority="219" stopIfTrue="1" operator="equal">
      <formula>"B"</formula>
    </cfRule>
    <cfRule type="cellIs" dxfId="1501" priority="220" stopIfTrue="1" operator="equal">
      <formula>"M"</formula>
    </cfRule>
    <cfRule type="cellIs" dxfId="1500" priority="221" stopIfTrue="1" operator="between">
      <formula>"NB"</formula>
      <formula>"NB^"</formula>
    </cfRule>
  </conditionalFormatting>
  <conditionalFormatting sqref="T15:U17">
    <cfRule type="cellIs" priority="215" stopIfTrue="1" operator="equal">
      <formula>"B"</formula>
    </cfRule>
    <cfRule type="cellIs" dxfId="1499" priority="216" stopIfTrue="1" operator="equal">
      <formula>"M"</formula>
    </cfRule>
    <cfRule type="cellIs" dxfId="1498" priority="217" stopIfTrue="1" operator="equal">
      <formula>"NB"</formula>
    </cfRule>
    <cfRule type="cellIs" dxfId="1497" priority="218" stopIfTrue="1" operator="equal">
      <formula>0</formula>
    </cfRule>
  </conditionalFormatting>
  <conditionalFormatting sqref="AB25:AB26">
    <cfRule type="cellIs" dxfId="1496" priority="178" stopIfTrue="1" operator="equal">
      <formula>"B"</formula>
    </cfRule>
    <cfRule type="cellIs" dxfId="1495" priority="179" stopIfTrue="1" operator="equal">
      <formula>"M"</formula>
    </cfRule>
    <cfRule type="cellIs" dxfId="1494" priority="180" stopIfTrue="1" operator="between">
      <formula>"NB"</formula>
      <formula>"NB^"</formula>
    </cfRule>
  </conditionalFormatting>
  <conditionalFormatting sqref="E25:E26">
    <cfRule type="cellIs" dxfId="1493" priority="154" stopIfTrue="1" operator="equal">
      <formula>"B"</formula>
    </cfRule>
    <cfRule type="cellIs" dxfId="1492" priority="155" stopIfTrue="1" operator="equal">
      <formula>"M"</formula>
    </cfRule>
    <cfRule type="cellIs" dxfId="1491" priority="156" stopIfTrue="1" operator="between">
      <formula>"NB"</formula>
      <formula>"NB^"</formula>
    </cfRule>
  </conditionalFormatting>
  <conditionalFormatting sqref="E18:E22 E30:E35 E27 E6:E14">
    <cfRule type="cellIs" dxfId="1490" priority="150" stopIfTrue="1" operator="equal">
      <formula>"B"</formula>
    </cfRule>
    <cfRule type="cellIs" dxfId="1489" priority="151" stopIfTrue="1" operator="equal">
      <formula>"M"</formula>
    </cfRule>
    <cfRule type="cellIs" dxfId="1488" priority="152" stopIfTrue="1" operator="between">
      <formula>"NB"</formula>
      <formula>"NB^"</formula>
    </cfRule>
  </conditionalFormatting>
  <conditionalFormatting sqref="E28:E29">
    <cfRule type="cellIs" dxfId="1487" priority="153" stopIfTrue="1" operator="equal">
      <formula>0</formula>
    </cfRule>
  </conditionalFormatting>
  <conditionalFormatting sqref="E15:E17">
    <cfRule type="cellIs" priority="146" stopIfTrue="1" operator="equal">
      <formula>"B"</formula>
    </cfRule>
    <cfRule type="cellIs" dxfId="1486" priority="147" stopIfTrue="1" operator="equal">
      <formula>"M"</formula>
    </cfRule>
    <cfRule type="cellIs" dxfId="1485" priority="148" stopIfTrue="1" operator="equal">
      <formula>"NB"</formula>
    </cfRule>
    <cfRule type="cellIs" dxfId="1484" priority="149" stopIfTrue="1" operator="equal">
      <formula>0</formula>
    </cfRule>
  </conditionalFormatting>
  <conditionalFormatting sqref="E23:E24">
    <cfRule type="cellIs" priority="142" stopIfTrue="1" operator="equal">
      <formula>"B"</formula>
    </cfRule>
    <cfRule type="cellIs" dxfId="1483" priority="143" stopIfTrue="1" operator="equal">
      <formula>"M"</formula>
    </cfRule>
    <cfRule type="cellIs" dxfId="1482" priority="144" stopIfTrue="1" operator="equal">
      <formula>"NB"</formula>
    </cfRule>
    <cfRule type="cellIs" dxfId="1481" priority="145" stopIfTrue="1" operator="equal">
      <formula>0</formula>
    </cfRule>
  </conditionalFormatting>
  <conditionalFormatting sqref="H25:H26">
    <cfRule type="cellIs" dxfId="1480" priority="139" stopIfTrue="1" operator="equal">
      <formula>"B"</formula>
    </cfRule>
    <cfRule type="cellIs" dxfId="1479" priority="140" stopIfTrue="1" operator="equal">
      <formula>"M"</formula>
    </cfRule>
    <cfRule type="cellIs" dxfId="1478" priority="141" stopIfTrue="1" operator="between">
      <formula>"NB"</formula>
      <formula>"NB^"</formula>
    </cfRule>
  </conditionalFormatting>
  <conditionalFormatting sqref="H18:H22 H30:H35 H27 H6:H14">
    <cfRule type="cellIs" dxfId="1477" priority="135" stopIfTrue="1" operator="equal">
      <formula>"B"</formula>
    </cfRule>
    <cfRule type="cellIs" dxfId="1476" priority="136" stopIfTrue="1" operator="equal">
      <formula>"M"</formula>
    </cfRule>
    <cfRule type="cellIs" dxfId="1475" priority="137" stopIfTrue="1" operator="between">
      <formula>"NB"</formula>
      <formula>"NB^"</formula>
    </cfRule>
  </conditionalFormatting>
  <conditionalFormatting sqref="H28:H29">
    <cfRule type="cellIs" dxfId="1474" priority="138" stopIfTrue="1" operator="equal">
      <formula>0</formula>
    </cfRule>
  </conditionalFormatting>
  <conditionalFormatting sqref="H15:H17">
    <cfRule type="cellIs" priority="131" stopIfTrue="1" operator="equal">
      <formula>"B"</formula>
    </cfRule>
    <cfRule type="cellIs" dxfId="1473" priority="132" stopIfTrue="1" operator="equal">
      <formula>"M"</formula>
    </cfRule>
    <cfRule type="cellIs" dxfId="1472" priority="133" stopIfTrue="1" operator="equal">
      <formula>"NB"</formula>
    </cfRule>
    <cfRule type="cellIs" dxfId="1471" priority="134" stopIfTrue="1" operator="equal">
      <formula>0</formula>
    </cfRule>
  </conditionalFormatting>
  <conditionalFormatting sqref="H23:H24">
    <cfRule type="cellIs" priority="127" stopIfTrue="1" operator="equal">
      <formula>"B"</formula>
    </cfRule>
    <cfRule type="cellIs" dxfId="1470" priority="128" stopIfTrue="1" operator="equal">
      <formula>"M"</formula>
    </cfRule>
    <cfRule type="cellIs" dxfId="1469" priority="129" stopIfTrue="1" operator="equal">
      <formula>"NB"</formula>
    </cfRule>
    <cfRule type="cellIs" dxfId="1468" priority="130" stopIfTrue="1" operator="equal">
      <formula>0</formula>
    </cfRule>
  </conditionalFormatting>
  <conditionalFormatting sqref="I25:I26">
    <cfRule type="cellIs" dxfId="1467" priority="124" stopIfTrue="1" operator="equal">
      <formula>"B"</formula>
    </cfRule>
    <cfRule type="cellIs" dxfId="1466" priority="125" stopIfTrue="1" operator="equal">
      <formula>"M"</formula>
    </cfRule>
    <cfRule type="cellIs" dxfId="1465" priority="126" stopIfTrue="1" operator="between">
      <formula>"NB"</formula>
      <formula>"NB^"</formula>
    </cfRule>
  </conditionalFormatting>
  <conditionalFormatting sqref="I18:I22 I30:I35 I27 I6:I14">
    <cfRule type="cellIs" dxfId="1464" priority="120" stopIfTrue="1" operator="equal">
      <formula>"B"</formula>
    </cfRule>
    <cfRule type="cellIs" dxfId="1463" priority="121" stopIfTrue="1" operator="equal">
      <formula>"M"</formula>
    </cfRule>
    <cfRule type="cellIs" dxfId="1462" priority="122" stopIfTrue="1" operator="between">
      <formula>"NB"</formula>
      <formula>"NB^"</formula>
    </cfRule>
  </conditionalFormatting>
  <conditionalFormatting sqref="I28:I29">
    <cfRule type="cellIs" dxfId="1461" priority="123" stopIfTrue="1" operator="equal">
      <formula>0</formula>
    </cfRule>
  </conditionalFormatting>
  <conditionalFormatting sqref="I15:I17">
    <cfRule type="cellIs" priority="116" stopIfTrue="1" operator="equal">
      <formula>"B"</formula>
    </cfRule>
    <cfRule type="cellIs" dxfId="1460" priority="117" stopIfTrue="1" operator="equal">
      <formula>"M"</formula>
    </cfRule>
    <cfRule type="cellIs" dxfId="1459" priority="118" stopIfTrue="1" operator="equal">
      <formula>"NB"</formula>
    </cfRule>
    <cfRule type="cellIs" dxfId="1458" priority="119" stopIfTrue="1" operator="equal">
      <formula>0</formula>
    </cfRule>
  </conditionalFormatting>
  <conditionalFormatting sqref="I23:I24">
    <cfRule type="cellIs" priority="112" stopIfTrue="1" operator="equal">
      <formula>"B"</formula>
    </cfRule>
    <cfRule type="cellIs" dxfId="1457" priority="113" stopIfTrue="1" operator="equal">
      <formula>"M"</formula>
    </cfRule>
    <cfRule type="cellIs" dxfId="1456" priority="114" stopIfTrue="1" operator="equal">
      <formula>"NB"</formula>
    </cfRule>
    <cfRule type="cellIs" dxfId="1455" priority="115" stopIfTrue="1" operator="equal">
      <formula>0</formula>
    </cfRule>
  </conditionalFormatting>
  <conditionalFormatting sqref="J25:O26">
    <cfRule type="cellIs" dxfId="1454" priority="109" stopIfTrue="1" operator="equal">
      <formula>"B"</formula>
    </cfRule>
    <cfRule type="cellIs" dxfId="1453" priority="110" stopIfTrue="1" operator="equal">
      <formula>"M"</formula>
    </cfRule>
    <cfRule type="cellIs" dxfId="1452" priority="111" stopIfTrue="1" operator="between">
      <formula>"NB"</formula>
      <formula>"NB^"</formula>
    </cfRule>
  </conditionalFormatting>
  <conditionalFormatting sqref="J18:O22 J6:O14 J30:O35 J27:O27">
    <cfRule type="cellIs" dxfId="1451" priority="105" stopIfTrue="1" operator="equal">
      <formula>"B"</formula>
    </cfRule>
    <cfRule type="cellIs" dxfId="1450" priority="106" stopIfTrue="1" operator="equal">
      <formula>"M"</formula>
    </cfRule>
    <cfRule type="cellIs" dxfId="1449" priority="107" stopIfTrue="1" operator="between">
      <formula>"NB"</formula>
      <formula>"NB^"</formula>
    </cfRule>
  </conditionalFormatting>
  <conditionalFormatting sqref="J28:O29">
    <cfRule type="cellIs" dxfId="1448" priority="108" stopIfTrue="1" operator="equal">
      <formula>0</formula>
    </cfRule>
  </conditionalFormatting>
  <conditionalFormatting sqref="J15:O17">
    <cfRule type="cellIs" priority="101" stopIfTrue="1" operator="equal">
      <formula>"B"</formula>
    </cfRule>
    <cfRule type="cellIs" dxfId="1447" priority="102" stopIfTrue="1" operator="equal">
      <formula>"M"</formula>
    </cfRule>
    <cfRule type="cellIs" dxfId="1446" priority="103" stopIfTrue="1" operator="equal">
      <formula>"NB"</formula>
    </cfRule>
    <cfRule type="cellIs" dxfId="1445" priority="104" stopIfTrue="1" operator="equal">
      <formula>0</formula>
    </cfRule>
  </conditionalFormatting>
  <conditionalFormatting sqref="J23:O24">
    <cfRule type="cellIs" priority="97" stopIfTrue="1" operator="equal">
      <formula>"B"</formula>
    </cfRule>
    <cfRule type="cellIs" dxfId="1444" priority="98" stopIfTrue="1" operator="equal">
      <formula>"M"</formula>
    </cfRule>
    <cfRule type="cellIs" dxfId="1443" priority="99" stopIfTrue="1" operator="equal">
      <formula>"NB"</formula>
    </cfRule>
    <cfRule type="cellIs" dxfId="1442" priority="100" stopIfTrue="1" operator="equal">
      <formula>0</formula>
    </cfRule>
  </conditionalFormatting>
  <conditionalFormatting sqref="P25:P26">
    <cfRule type="cellIs" dxfId="1441" priority="94" stopIfTrue="1" operator="equal">
      <formula>"B"</formula>
    </cfRule>
    <cfRule type="cellIs" dxfId="1440" priority="95" stopIfTrue="1" operator="equal">
      <formula>"M"</formula>
    </cfRule>
    <cfRule type="cellIs" dxfId="1439" priority="96" stopIfTrue="1" operator="between">
      <formula>"NB"</formula>
      <formula>"NB^"</formula>
    </cfRule>
  </conditionalFormatting>
  <conditionalFormatting sqref="P18:P22 P6:P14 P30:P35 P27">
    <cfRule type="cellIs" dxfId="1438" priority="90" stopIfTrue="1" operator="equal">
      <formula>"B"</formula>
    </cfRule>
    <cfRule type="cellIs" dxfId="1437" priority="91" stopIfTrue="1" operator="equal">
      <formula>"M"</formula>
    </cfRule>
    <cfRule type="cellIs" dxfId="1436" priority="92" stopIfTrue="1" operator="between">
      <formula>"NB"</formula>
      <formula>"NB^"</formula>
    </cfRule>
  </conditionalFormatting>
  <conditionalFormatting sqref="P28:P29">
    <cfRule type="cellIs" dxfId="1435" priority="93" stopIfTrue="1" operator="equal">
      <formula>0</formula>
    </cfRule>
  </conditionalFormatting>
  <conditionalFormatting sqref="P15:P17">
    <cfRule type="cellIs" priority="86" stopIfTrue="1" operator="equal">
      <formula>"B"</formula>
    </cfRule>
    <cfRule type="cellIs" dxfId="1434" priority="87" stopIfTrue="1" operator="equal">
      <formula>"M"</formula>
    </cfRule>
    <cfRule type="cellIs" dxfId="1433" priority="88" stopIfTrue="1" operator="equal">
      <formula>"NB"</formula>
    </cfRule>
    <cfRule type="cellIs" dxfId="1432" priority="89" stopIfTrue="1" operator="equal">
      <formula>0</formula>
    </cfRule>
  </conditionalFormatting>
  <conditionalFormatting sqref="P23:P24">
    <cfRule type="cellIs" priority="82" stopIfTrue="1" operator="equal">
      <formula>"B"</formula>
    </cfRule>
    <cfRule type="cellIs" dxfId="1431" priority="83" stopIfTrue="1" operator="equal">
      <formula>"M"</formula>
    </cfRule>
    <cfRule type="cellIs" dxfId="1430" priority="84" stopIfTrue="1" operator="equal">
      <formula>"NB"</formula>
    </cfRule>
    <cfRule type="cellIs" dxfId="1429" priority="85" stopIfTrue="1" operator="equal">
      <formula>0</formula>
    </cfRule>
  </conditionalFormatting>
  <conditionalFormatting sqref="Q25:Q26">
    <cfRule type="cellIs" dxfId="1428" priority="79" stopIfTrue="1" operator="equal">
      <formula>"B"</formula>
    </cfRule>
    <cfRule type="cellIs" dxfId="1427" priority="80" stopIfTrue="1" operator="equal">
      <formula>"M"</formula>
    </cfRule>
    <cfRule type="cellIs" dxfId="1426" priority="81" stopIfTrue="1" operator="between">
      <formula>"NB"</formula>
      <formula>"NB^"</formula>
    </cfRule>
  </conditionalFormatting>
  <conditionalFormatting sqref="Q18:Q22 Q6:Q14 Q30:Q35 Q27">
    <cfRule type="cellIs" dxfId="1425" priority="75" stopIfTrue="1" operator="equal">
      <formula>"B"</formula>
    </cfRule>
    <cfRule type="cellIs" dxfId="1424" priority="76" stopIfTrue="1" operator="equal">
      <formula>"M"</formula>
    </cfRule>
    <cfRule type="cellIs" dxfId="1423" priority="77" stopIfTrue="1" operator="between">
      <formula>"NB"</formula>
      <formula>"NB^"</formula>
    </cfRule>
  </conditionalFormatting>
  <conditionalFormatting sqref="Q28:Q29">
    <cfRule type="cellIs" dxfId="1422" priority="78" stopIfTrue="1" operator="equal">
      <formula>0</formula>
    </cfRule>
  </conditionalFormatting>
  <conditionalFormatting sqref="Q15:Q17">
    <cfRule type="cellIs" priority="71" stopIfTrue="1" operator="equal">
      <formula>"B"</formula>
    </cfRule>
    <cfRule type="cellIs" dxfId="1421" priority="72" stopIfTrue="1" operator="equal">
      <formula>"M"</formula>
    </cfRule>
    <cfRule type="cellIs" dxfId="1420" priority="73" stopIfTrue="1" operator="equal">
      <formula>"NB"</formula>
    </cfRule>
    <cfRule type="cellIs" dxfId="1419" priority="74" stopIfTrue="1" operator="equal">
      <formula>0</formula>
    </cfRule>
  </conditionalFormatting>
  <conditionalFormatting sqref="Q23:Q24">
    <cfRule type="cellIs" priority="67" stopIfTrue="1" operator="equal">
      <formula>"B"</formula>
    </cfRule>
    <cfRule type="cellIs" dxfId="1418" priority="68" stopIfTrue="1" operator="equal">
      <formula>"M"</formula>
    </cfRule>
    <cfRule type="cellIs" dxfId="1417" priority="69" stopIfTrue="1" operator="equal">
      <formula>"NB"</formula>
    </cfRule>
    <cfRule type="cellIs" dxfId="1416" priority="70" stopIfTrue="1" operator="equal">
      <formula>0</formula>
    </cfRule>
  </conditionalFormatting>
  <conditionalFormatting sqref="R25:U26">
    <cfRule type="cellIs" dxfId="1415" priority="64" stopIfTrue="1" operator="equal">
      <formula>"B"</formula>
    </cfRule>
    <cfRule type="cellIs" dxfId="1414" priority="65" stopIfTrue="1" operator="equal">
      <formula>"M"</formula>
    </cfRule>
    <cfRule type="cellIs" dxfId="1413" priority="66" stopIfTrue="1" operator="between">
      <formula>"NB"</formula>
      <formula>"NB^"</formula>
    </cfRule>
  </conditionalFormatting>
  <conditionalFormatting sqref="R18:S22 R6:S14 R30:S35 R27:S27 T22">
    <cfRule type="cellIs" dxfId="1412" priority="60" stopIfTrue="1" operator="equal">
      <formula>"B"</formula>
    </cfRule>
    <cfRule type="cellIs" dxfId="1411" priority="61" stopIfTrue="1" operator="equal">
      <formula>"M"</formula>
    </cfRule>
    <cfRule type="cellIs" dxfId="1410" priority="62" stopIfTrue="1" operator="between">
      <formula>"NB"</formula>
      <formula>"NB^"</formula>
    </cfRule>
  </conditionalFormatting>
  <conditionalFormatting sqref="R28:S29">
    <cfRule type="cellIs" dxfId="1409" priority="63" stopIfTrue="1" operator="equal">
      <formula>0</formula>
    </cfRule>
  </conditionalFormatting>
  <conditionalFormatting sqref="R15:S17">
    <cfRule type="cellIs" priority="56" stopIfTrue="1" operator="equal">
      <formula>"B"</formula>
    </cfRule>
    <cfRule type="cellIs" dxfId="1408" priority="57" stopIfTrue="1" operator="equal">
      <formula>"M"</formula>
    </cfRule>
    <cfRule type="cellIs" dxfId="1407" priority="58" stopIfTrue="1" operator="equal">
      <formula>"NB"</formula>
    </cfRule>
    <cfRule type="cellIs" dxfId="1406" priority="59" stopIfTrue="1" operator="equal">
      <formula>0</formula>
    </cfRule>
  </conditionalFormatting>
  <conditionalFormatting sqref="R23:S24">
    <cfRule type="cellIs" priority="52" stopIfTrue="1" operator="equal">
      <formula>"B"</formula>
    </cfRule>
    <cfRule type="cellIs" dxfId="1405" priority="53" stopIfTrue="1" operator="equal">
      <formula>"M"</formula>
    </cfRule>
    <cfRule type="cellIs" dxfId="1404" priority="54" stopIfTrue="1" operator="equal">
      <formula>"NB"</formula>
    </cfRule>
    <cfRule type="cellIs" dxfId="1403" priority="55" stopIfTrue="1" operator="equal">
      <formula>0</formula>
    </cfRule>
  </conditionalFormatting>
  <conditionalFormatting sqref="V23:V24">
    <cfRule type="cellIs" dxfId="1402" priority="49" stopIfTrue="1" operator="equal">
      <formula>"B"</formula>
    </cfRule>
    <cfRule type="cellIs" dxfId="1401" priority="50" stopIfTrue="1" operator="equal">
      <formula>"M"</formula>
    </cfRule>
    <cfRule type="cellIs" dxfId="1400" priority="51" stopIfTrue="1" operator="between">
      <formula>"NB"</formula>
      <formula>"NB^"</formula>
    </cfRule>
  </conditionalFormatting>
  <conditionalFormatting sqref="V22 V6:V8 V27 V30:V35">
    <cfRule type="cellIs" dxfId="1399" priority="45" stopIfTrue="1" operator="equal">
      <formula>"B"</formula>
    </cfRule>
    <cfRule type="cellIs" dxfId="1398" priority="46" stopIfTrue="1" operator="equal">
      <formula>"M"</formula>
    </cfRule>
    <cfRule type="cellIs" dxfId="1397" priority="47" stopIfTrue="1" operator="between">
      <formula>"NB"</formula>
      <formula>"NB^"</formula>
    </cfRule>
  </conditionalFormatting>
  <conditionalFormatting sqref="V28:V29">
    <cfRule type="cellIs" dxfId="1396" priority="48" stopIfTrue="1" operator="equal">
      <formula>0</formula>
    </cfRule>
  </conditionalFormatting>
  <conditionalFormatting sqref="V18:V21 V9:V14">
    <cfRule type="cellIs" dxfId="1395" priority="42" stopIfTrue="1" operator="equal">
      <formula>"B"</formula>
    </cfRule>
    <cfRule type="cellIs" dxfId="1394" priority="43" stopIfTrue="1" operator="equal">
      <formula>"M"</formula>
    </cfRule>
    <cfRule type="cellIs" dxfId="1393" priority="44" stopIfTrue="1" operator="between">
      <formula>"NB"</formula>
      <formula>"NB^"</formula>
    </cfRule>
  </conditionalFormatting>
  <conditionalFormatting sqref="V15:V17">
    <cfRule type="cellIs" priority="38" stopIfTrue="1" operator="equal">
      <formula>"B"</formula>
    </cfRule>
    <cfRule type="cellIs" dxfId="1392" priority="39" stopIfTrue="1" operator="equal">
      <formula>"M"</formula>
    </cfRule>
    <cfRule type="cellIs" dxfId="1391" priority="40" stopIfTrue="1" operator="equal">
      <formula>"NB"</formula>
    </cfRule>
    <cfRule type="cellIs" dxfId="1390" priority="41" stopIfTrue="1" operator="equal">
      <formula>0</formula>
    </cfRule>
  </conditionalFormatting>
  <conditionalFormatting sqref="V25:V26">
    <cfRule type="cellIs" dxfId="1389" priority="35" stopIfTrue="1" operator="equal">
      <formula>"B"</formula>
    </cfRule>
    <cfRule type="cellIs" dxfId="1388" priority="36" stopIfTrue="1" operator="equal">
      <formula>"M"</formula>
    </cfRule>
    <cfRule type="cellIs" dxfId="1387" priority="37" stopIfTrue="1" operator="between">
      <formula>"NB"</formula>
      <formula>"NB^"</formula>
    </cfRule>
  </conditionalFormatting>
  <conditionalFormatting sqref="W23:AC24">
    <cfRule type="cellIs" dxfId="1386" priority="32" stopIfTrue="1" operator="equal">
      <formula>"B"</formula>
    </cfRule>
    <cfRule type="cellIs" dxfId="1385" priority="33" stopIfTrue="1" operator="equal">
      <formula>"M"</formula>
    </cfRule>
    <cfRule type="cellIs" dxfId="1384" priority="34" stopIfTrue="1" operator="between">
      <formula>"NB"</formula>
      <formula>"NB^"</formula>
    </cfRule>
  </conditionalFormatting>
  <conditionalFormatting sqref="W6:AB8 W22:AB22 W27:AB27 W30:AB35">
    <cfRule type="cellIs" dxfId="1383" priority="28" stopIfTrue="1" operator="equal">
      <formula>"B"</formula>
    </cfRule>
    <cfRule type="cellIs" dxfId="1382" priority="29" stopIfTrue="1" operator="equal">
      <formula>"M"</formula>
    </cfRule>
    <cfRule type="cellIs" dxfId="1381" priority="30" stopIfTrue="1" operator="between">
      <formula>"NB"</formula>
      <formula>"NB^"</formula>
    </cfRule>
  </conditionalFormatting>
  <conditionalFormatting sqref="W28:AB29">
    <cfRule type="cellIs" dxfId="1380" priority="31" stopIfTrue="1" operator="equal">
      <formula>0</formula>
    </cfRule>
  </conditionalFormatting>
  <conditionalFormatting sqref="W9:AC14 W18:AB21">
    <cfRule type="cellIs" dxfId="1379" priority="25" stopIfTrue="1" operator="equal">
      <formula>"B"</formula>
    </cfRule>
    <cfRule type="cellIs" dxfId="1378" priority="26" stopIfTrue="1" operator="equal">
      <formula>"M"</formula>
    </cfRule>
    <cfRule type="cellIs" dxfId="1377" priority="27" stopIfTrue="1" operator="between">
      <formula>"NB"</formula>
      <formula>"NB^"</formula>
    </cfRule>
  </conditionalFormatting>
  <conditionalFormatting sqref="W15:AB17">
    <cfRule type="cellIs" priority="21" stopIfTrue="1" operator="equal">
      <formula>"B"</formula>
    </cfRule>
    <cfRule type="cellIs" dxfId="1376" priority="22" stopIfTrue="1" operator="equal">
      <formula>"M"</formula>
    </cfRule>
    <cfRule type="cellIs" dxfId="1375" priority="23" stopIfTrue="1" operator="equal">
      <formula>"NB"</formula>
    </cfRule>
    <cfRule type="cellIs" dxfId="1374" priority="24" stopIfTrue="1" operator="equal">
      <formula>0</formula>
    </cfRule>
  </conditionalFormatting>
  <conditionalFormatting sqref="W25:AA26">
    <cfRule type="cellIs" dxfId="1373" priority="18" stopIfTrue="1" operator="equal">
      <formula>"B"</formula>
    </cfRule>
    <cfRule type="cellIs" dxfId="1372" priority="19" stopIfTrue="1" operator="equal">
      <formula>"M"</formula>
    </cfRule>
    <cfRule type="cellIs" dxfId="1371" priority="20" stopIfTrue="1" operator="between">
      <formula>"NB"</formula>
      <formula>"NB^"</formula>
    </cfRule>
  </conditionalFormatting>
  <conditionalFormatting sqref="AD23:AD24">
    <cfRule type="cellIs" dxfId="1370" priority="15" stopIfTrue="1" operator="equal">
      <formula>"B"</formula>
    </cfRule>
    <cfRule type="cellIs" dxfId="1369" priority="16" stopIfTrue="1" operator="equal">
      <formula>"M"</formula>
    </cfRule>
    <cfRule type="cellIs" dxfId="1368" priority="17" stopIfTrue="1" operator="between">
      <formula>"NB"</formula>
      <formula>"NB^"</formula>
    </cfRule>
  </conditionalFormatting>
  <conditionalFormatting sqref="AD6:AD8 AD27 AD30:AD35 AD22:AE22">
    <cfRule type="cellIs" dxfId="1367" priority="11" stopIfTrue="1" operator="equal">
      <formula>"B"</formula>
    </cfRule>
    <cfRule type="cellIs" dxfId="1366" priority="12" stopIfTrue="1" operator="equal">
      <formula>"M"</formula>
    </cfRule>
    <cfRule type="cellIs" dxfId="1365" priority="13" stopIfTrue="1" operator="between">
      <formula>"NB"</formula>
      <formula>"NB^"</formula>
    </cfRule>
  </conditionalFormatting>
  <conditionalFormatting sqref="AD28:AD29">
    <cfRule type="cellIs" dxfId="1364" priority="14" stopIfTrue="1" operator="equal">
      <formula>0</formula>
    </cfRule>
  </conditionalFormatting>
  <conditionalFormatting sqref="AD18:AD21 AD9:AE14">
    <cfRule type="cellIs" dxfId="1363" priority="8" stopIfTrue="1" operator="equal">
      <formula>"B"</formula>
    </cfRule>
    <cfRule type="cellIs" dxfId="1362" priority="9" stopIfTrue="1" operator="equal">
      <formula>"M"</formula>
    </cfRule>
    <cfRule type="cellIs" dxfId="1361" priority="10" stopIfTrue="1" operator="between">
      <formula>"NB"</formula>
      <formula>"NB^"</formula>
    </cfRule>
  </conditionalFormatting>
  <conditionalFormatting sqref="AD15:AD17">
    <cfRule type="cellIs" priority="4" stopIfTrue="1" operator="equal">
      <formula>"B"</formula>
    </cfRule>
    <cfRule type="cellIs" dxfId="1360" priority="5" stopIfTrue="1" operator="equal">
      <formula>"M"</formula>
    </cfRule>
    <cfRule type="cellIs" dxfId="1359" priority="6" stopIfTrue="1" operator="equal">
      <formula>"NB"</formula>
    </cfRule>
    <cfRule type="cellIs" dxfId="1358" priority="7" stopIfTrue="1" operator="equal">
      <formula>0</formula>
    </cfRule>
  </conditionalFormatting>
  <conditionalFormatting sqref="AD25:AD26">
    <cfRule type="cellIs" dxfId="1357" priority="1" stopIfTrue="1" operator="equal">
      <formula>"B"</formula>
    </cfRule>
    <cfRule type="cellIs" dxfId="1356" priority="2" stopIfTrue="1" operator="equal">
      <formula>"M"</formula>
    </cfRule>
    <cfRule type="cellIs" dxfId="1355" priority="3" stopIfTrue="1" operator="between">
      <formula>"NB"</formula>
      <formula>"NB^"</formula>
    </cfRule>
  </conditionalFormatting>
  <pageMargins left="0.75" right="0.75" top="1" bottom="1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0" width="5.7109375" customWidth="1"/>
    <col min="31" max="31" width="6.85546875" bestFit="1" customWidth="1"/>
    <col min="32" max="34" width="5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91</v>
      </c>
    </row>
    <row r="3" spans="1:44" ht="23.25" x14ac:dyDescent="0.35">
      <c r="A3" s="1" t="s">
        <v>2</v>
      </c>
      <c r="P3" s="4" t="s">
        <v>105</v>
      </c>
    </row>
    <row r="4" spans="1:44" s="5" customFormat="1" ht="15.75" customHeight="1" thickBot="1" x14ac:dyDescent="0.3">
      <c r="C4" s="6"/>
      <c r="D4" s="5" t="s">
        <v>3</v>
      </c>
      <c r="E4" s="5" t="s">
        <v>3</v>
      </c>
      <c r="G4" s="6"/>
      <c r="K4" s="5" t="s">
        <v>3</v>
      </c>
      <c r="L4" s="5" t="s">
        <v>3</v>
      </c>
      <c r="N4" s="6"/>
      <c r="R4" s="5" t="s">
        <v>3</v>
      </c>
      <c r="S4" s="5" t="s">
        <v>3</v>
      </c>
      <c r="Y4" s="5" t="s">
        <v>3</v>
      </c>
      <c r="Z4" s="5" t="s">
        <v>3</v>
      </c>
      <c r="AF4" s="5" t="s">
        <v>3</v>
      </c>
      <c r="AG4" s="5" t="s">
        <v>3</v>
      </c>
      <c r="AH4" s="5" t="s">
        <v>4</v>
      </c>
      <c r="AJ4"/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71">
        <v>27</v>
      </c>
      <c r="AE5" s="71">
        <v>28</v>
      </c>
      <c r="AF5" s="71">
        <v>29</v>
      </c>
      <c r="AG5" s="71">
        <v>30</v>
      </c>
      <c r="AH5" s="127">
        <v>31</v>
      </c>
      <c r="AI5" s="11" t="s">
        <v>6</v>
      </c>
      <c r="AJ5"/>
      <c r="AK5"/>
      <c r="AL5"/>
      <c r="AM5"/>
      <c r="AN5"/>
      <c r="AO5"/>
      <c r="AP5"/>
      <c r="AQ5"/>
      <c r="AR5"/>
    </row>
    <row r="6" spans="1:44" ht="15.75" customHeight="1" x14ac:dyDescent="0.25">
      <c r="A6" s="156" t="s">
        <v>7</v>
      </c>
      <c r="B6" s="157"/>
      <c r="C6" s="158"/>
      <c r="D6" s="72" t="s">
        <v>8</v>
      </c>
      <c r="E6" s="72" t="s">
        <v>8</v>
      </c>
      <c r="F6" s="72" t="s">
        <v>8</v>
      </c>
      <c r="G6" s="72" t="s">
        <v>8</v>
      </c>
      <c r="H6" s="72" t="s">
        <v>8</v>
      </c>
      <c r="I6" s="72" t="s">
        <v>8</v>
      </c>
      <c r="J6" s="72" t="s">
        <v>8</v>
      </c>
      <c r="K6" s="72" t="s">
        <v>9</v>
      </c>
      <c r="L6" s="72" t="s">
        <v>9</v>
      </c>
      <c r="M6" s="72" t="s">
        <v>9</v>
      </c>
      <c r="N6" s="72" t="s">
        <v>9</v>
      </c>
      <c r="O6" s="72" t="s">
        <v>9</v>
      </c>
      <c r="P6" s="72" t="s">
        <v>9</v>
      </c>
      <c r="Q6" s="72" t="s">
        <v>9</v>
      </c>
      <c r="R6" s="72" t="s">
        <v>8</v>
      </c>
      <c r="S6" s="72" t="s">
        <v>8</v>
      </c>
      <c r="T6" s="72" t="s">
        <v>8</v>
      </c>
      <c r="U6" s="72" t="s">
        <v>8</v>
      </c>
      <c r="V6" s="72" t="s">
        <v>8</v>
      </c>
      <c r="W6" s="72" t="s">
        <v>9</v>
      </c>
      <c r="X6" s="72" t="s">
        <v>8</v>
      </c>
      <c r="Y6" s="72" t="s">
        <v>8</v>
      </c>
      <c r="Z6" s="72" t="s">
        <v>8</v>
      </c>
      <c r="AA6" s="72" t="s">
        <v>8</v>
      </c>
      <c r="AB6" s="72" t="s">
        <v>8</v>
      </c>
      <c r="AC6" s="72" t="s">
        <v>8</v>
      </c>
      <c r="AD6" s="72" t="s">
        <v>9</v>
      </c>
      <c r="AE6" s="72" t="s">
        <v>9</v>
      </c>
      <c r="AF6" s="72" t="s">
        <v>9</v>
      </c>
      <c r="AG6" s="72" t="s">
        <v>9</v>
      </c>
      <c r="AH6" s="74" t="s">
        <v>22</v>
      </c>
      <c r="AI6" s="13">
        <f>IF(COUNTA(D6:AH6)&gt;0,(COUNTA(D6:AH6)-COUNTIF(D6:AH6,"NB")-COUNTIF(D6:AH6,"DN")-COUNTIF(D6:AH6,"An")-COUNTIF(D6:AH6,"NB^")-COUNTIF(D6:AH6,0))/COUNTA(D6:AH6),"")</f>
        <v>1</v>
      </c>
    </row>
    <row r="7" spans="1:44" ht="15.75" customHeight="1" x14ac:dyDescent="0.25">
      <c r="A7" s="180" t="s">
        <v>10</v>
      </c>
      <c r="B7" s="181"/>
      <c r="C7" s="182"/>
      <c r="D7" s="14" t="s">
        <v>11</v>
      </c>
      <c r="E7" s="14" t="s">
        <v>11</v>
      </c>
      <c r="F7" s="14" t="s">
        <v>11</v>
      </c>
      <c r="G7" s="14" t="s">
        <v>11</v>
      </c>
      <c r="H7" s="14" t="s">
        <v>11</v>
      </c>
      <c r="I7" s="14" t="s">
        <v>11</v>
      </c>
      <c r="J7" s="14" t="s">
        <v>11</v>
      </c>
      <c r="K7" s="14" t="s">
        <v>11</v>
      </c>
      <c r="L7" s="14" t="s">
        <v>11</v>
      </c>
      <c r="M7" s="14" t="s">
        <v>11</v>
      </c>
      <c r="N7" s="14" t="s">
        <v>11</v>
      </c>
      <c r="O7" s="14" t="s">
        <v>11</v>
      </c>
      <c r="P7" s="14" t="s">
        <v>11</v>
      </c>
      <c r="Q7" s="14" t="s">
        <v>11</v>
      </c>
      <c r="R7" s="14" t="s">
        <v>11</v>
      </c>
      <c r="S7" s="14" t="s">
        <v>11</v>
      </c>
      <c r="T7" s="14" t="s">
        <v>11</v>
      </c>
      <c r="U7" s="14" t="s">
        <v>11</v>
      </c>
      <c r="V7" s="14" t="s">
        <v>11</v>
      </c>
      <c r="W7" s="14" t="s">
        <v>11</v>
      </c>
      <c r="X7" s="14" t="s">
        <v>11</v>
      </c>
      <c r="Y7" s="14" t="s">
        <v>11</v>
      </c>
      <c r="Z7" s="14" t="s">
        <v>11</v>
      </c>
      <c r="AA7" s="14" t="s">
        <v>11</v>
      </c>
      <c r="AB7" s="14" t="s">
        <v>11</v>
      </c>
      <c r="AC7" s="14" t="s">
        <v>11</v>
      </c>
      <c r="AD7" s="14" t="s">
        <v>11</v>
      </c>
      <c r="AE7" s="14" t="s">
        <v>11</v>
      </c>
      <c r="AF7" s="14" t="s">
        <v>11</v>
      </c>
      <c r="AG7" s="14" t="s">
        <v>11</v>
      </c>
      <c r="AH7" s="16" t="s">
        <v>22</v>
      </c>
      <c r="AI7" s="17">
        <f t="shared" ref="AI7:AI34" si="0">IF(COUNTA(D7:AH7)&gt;0,(COUNTA(D7:AH7)-COUNTIF(D7:AH7,"NB")-COUNTIF(D7:AH7,"DN")-COUNTIF(D7:AH7,"An")-COUNTIF(D7:AH7,"NB^")-COUNTIF(D7:AH7,0))/COUNTA(D7:AH7),"")</f>
        <v>1</v>
      </c>
    </row>
    <row r="8" spans="1:44" ht="15.75" customHeight="1" x14ac:dyDescent="0.25">
      <c r="A8" s="162" t="s">
        <v>94</v>
      </c>
      <c r="B8" s="163"/>
      <c r="C8" s="164"/>
      <c r="D8" s="18" t="s">
        <v>11</v>
      </c>
      <c r="E8" s="18" t="s">
        <v>11</v>
      </c>
      <c r="F8" s="18" t="s">
        <v>11</v>
      </c>
      <c r="G8" s="18" t="s">
        <v>11</v>
      </c>
      <c r="H8" s="18" t="s">
        <v>11</v>
      </c>
      <c r="I8" s="18" t="s">
        <v>11</v>
      </c>
      <c r="J8" s="18" t="s">
        <v>11</v>
      </c>
      <c r="K8" s="18" t="s">
        <v>11</v>
      </c>
      <c r="L8" s="18" t="s">
        <v>11</v>
      </c>
      <c r="M8" s="18" t="s">
        <v>11</v>
      </c>
      <c r="N8" s="18" t="s">
        <v>11</v>
      </c>
      <c r="O8" s="18" t="s">
        <v>11</v>
      </c>
      <c r="P8" s="18" t="s">
        <v>11</v>
      </c>
      <c r="Q8" s="18" t="s">
        <v>11</v>
      </c>
      <c r="R8" s="18" t="s">
        <v>11</v>
      </c>
      <c r="S8" s="18" t="s">
        <v>11</v>
      </c>
      <c r="T8" s="18" t="s">
        <v>11</v>
      </c>
      <c r="U8" s="18" t="s">
        <v>11</v>
      </c>
      <c r="V8" s="18" t="s">
        <v>11</v>
      </c>
      <c r="W8" s="18" t="s">
        <v>11</v>
      </c>
      <c r="X8" s="18" t="s">
        <v>11</v>
      </c>
      <c r="Y8" s="18" t="s">
        <v>11</v>
      </c>
      <c r="Z8" s="18" t="s">
        <v>11</v>
      </c>
      <c r="AA8" s="18" t="s">
        <v>11</v>
      </c>
      <c r="AB8" s="18" t="s">
        <v>11</v>
      </c>
      <c r="AC8" s="18" t="s">
        <v>11</v>
      </c>
      <c r="AD8" s="18" t="s">
        <v>11</v>
      </c>
      <c r="AE8" s="18" t="s">
        <v>11</v>
      </c>
      <c r="AF8" s="18" t="s">
        <v>11</v>
      </c>
      <c r="AG8" s="18" t="s">
        <v>11</v>
      </c>
      <c r="AH8" s="18" t="s">
        <v>12</v>
      </c>
      <c r="AI8" s="19">
        <f t="shared" si="0"/>
        <v>0.967741935483871</v>
      </c>
    </row>
    <row r="9" spans="1:44" ht="15.75" customHeight="1" x14ac:dyDescent="0.25">
      <c r="A9" s="174" t="s">
        <v>13</v>
      </c>
      <c r="B9" s="175"/>
      <c r="C9" s="176"/>
      <c r="D9" s="20" t="s">
        <v>11</v>
      </c>
      <c r="E9" s="20" t="s">
        <v>12</v>
      </c>
      <c r="F9" s="20" t="s">
        <v>12</v>
      </c>
      <c r="G9" s="20" t="s">
        <v>12</v>
      </c>
      <c r="H9" s="20" t="s">
        <v>11</v>
      </c>
      <c r="I9" s="20" t="s">
        <v>11</v>
      </c>
      <c r="J9" s="20" t="s">
        <v>11</v>
      </c>
      <c r="K9" s="20" t="s">
        <v>12</v>
      </c>
      <c r="L9" s="20" t="s">
        <v>12</v>
      </c>
      <c r="M9" s="20" t="s">
        <v>12</v>
      </c>
      <c r="N9" s="20" t="s">
        <v>12</v>
      </c>
      <c r="O9" s="20" t="s">
        <v>11</v>
      </c>
      <c r="P9" s="20" t="s">
        <v>11</v>
      </c>
      <c r="Q9" s="20" t="s">
        <v>11</v>
      </c>
      <c r="R9" s="20" t="s">
        <v>11</v>
      </c>
      <c r="S9" s="79" t="s">
        <v>11</v>
      </c>
      <c r="T9" s="79" t="s">
        <v>11</v>
      </c>
      <c r="U9" s="79" t="s">
        <v>11</v>
      </c>
      <c r="V9" s="79" t="s">
        <v>11</v>
      </c>
      <c r="W9" s="79" t="s">
        <v>11</v>
      </c>
      <c r="X9" s="79" t="s">
        <v>11</v>
      </c>
      <c r="Y9" s="79" t="s">
        <v>11</v>
      </c>
      <c r="Z9" s="79" t="s">
        <v>11</v>
      </c>
      <c r="AA9" s="79" t="s">
        <v>11</v>
      </c>
      <c r="AB9" s="79" t="s">
        <v>11</v>
      </c>
      <c r="AC9" s="79" t="s">
        <v>11</v>
      </c>
      <c r="AD9" s="79" t="s">
        <v>11</v>
      </c>
      <c r="AE9" s="79" t="s">
        <v>11</v>
      </c>
      <c r="AF9" s="79" t="s">
        <v>11</v>
      </c>
      <c r="AG9" s="79" t="s">
        <v>12</v>
      </c>
      <c r="AH9" s="79" t="s">
        <v>12</v>
      </c>
      <c r="AI9" s="13">
        <f t="shared" si="0"/>
        <v>0.70967741935483875</v>
      </c>
    </row>
    <row r="10" spans="1:44" ht="15.75" customHeight="1" x14ac:dyDescent="0.25">
      <c r="A10" s="177" t="s">
        <v>14</v>
      </c>
      <c r="B10" s="178"/>
      <c r="C10" s="179"/>
      <c r="D10" s="16" t="s">
        <v>11</v>
      </c>
      <c r="E10" s="16" t="s">
        <v>12</v>
      </c>
      <c r="F10" s="16" t="s">
        <v>12</v>
      </c>
      <c r="G10" s="16" t="s">
        <v>12</v>
      </c>
      <c r="H10" s="16" t="s">
        <v>11</v>
      </c>
      <c r="I10" s="16" t="s">
        <v>11</v>
      </c>
      <c r="J10" s="16" t="s">
        <v>11</v>
      </c>
      <c r="K10" s="16" t="s">
        <v>12</v>
      </c>
      <c r="L10" s="16" t="s">
        <v>12</v>
      </c>
      <c r="M10" s="16" t="s">
        <v>12</v>
      </c>
      <c r="N10" s="16" t="s">
        <v>12</v>
      </c>
      <c r="O10" s="16" t="s">
        <v>11</v>
      </c>
      <c r="P10" s="16" t="s">
        <v>11</v>
      </c>
      <c r="Q10" s="16" t="s">
        <v>11</v>
      </c>
      <c r="R10" s="16" t="s">
        <v>11</v>
      </c>
      <c r="S10" s="80" t="s">
        <v>11</v>
      </c>
      <c r="T10" s="80" t="s">
        <v>11</v>
      </c>
      <c r="U10" s="80" t="s">
        <v>11</v>
      </c>
      <c r="V10" s="80" t="s">
        <v>11</v>
      </c>
      <c r="W10" s="80" t="s">
        <v>11</v>
      </c>
      <c r="X10" s="80" t="s">
        <v>11</v>
      </c>
      <c r="Y10" s="80" t="s">
        <v>11</v>
      </c>
      <c r="Z10" s="80" t="s">
        <v>11</v>
      </c>
      <c r="AA10" s="80" t="s">
        <v>11</v>
      </c>
      <c r="AB10" s="80" t="s">
        <v>11</v>
      </c>
      <c r="AC10" s="80" t="s">
        <v>11</v>
      </c>
      <c r="AD10" s="80" t="s">
        <v>11</v>
      </c>
      <c r="AE10" s="80" t="s">
        <v>11</v>
      </c>
      <c r="AF10" s="80" t="s">
        <v>11</v>
      </c>
      <c r="AG10" s="80" t="s">
        <v>12</v>
      </c>
      <c r="AH10" s="80" t="s">
        <v>12</v>
      </c>
      <c r="AI10" s="21">
        <f t="shared" si="0"/>
        <v>0.70967741935483875</v>
      </c>
    </row>
    <row r="11" spans="1:44" ht="15.75" customHeight="1" x14ac:dyDescent="0.25">
      <c r="A11" s="177" t="s">
        <v>15</v>
      </c>
      <c r="B11" s="178"/>
      <c r="C11" s="179"/>
      <c r="D11" s="16" t="s">
        <v>11</v>
      </c>
      <c r="E11" s="16" t="s">
        <v>12</v>
      </c>
      <c r="F11" s="16" t="s">
        <v>12</v>
      </c>
      <c r="G11" s="16" t="s">
        <v>12</v>
      </c>
      <c r="H11" s="16" t="s">
        <v>11</v>
      </c>
      <c r="I11" s="16" t="s">
        <v>11</v>
      </c>
      <c r="J11" s="16" t="s">
        <v>11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11</v>
      </c>
      <c r="P11" s="16" t="s">
        <v>11</v>
      </c>
      <c r="Q11" s="16" t="s">
        <v>11</v>
      </c>
      <c r="R11" s="16" t="s">
        <v>11</v>
      </c>
      <c r="S11" s="80" t="s">
        <v>11</v>
      </c>
      <c r="T11" s="80" t="s">
        <v>11</v>
      </c>
      <c r="U11" s="80" t="s">
        <v>11</v>
      </c>
      <c r="V11" s="80" t="s">
        <v>11</v>
      </c>
      <c r="W11" s="80" t="s">
        <v>11</v>
      </c>
      <c r="X11" s="80" t="s">
        <v>11</v>
      </c>
      <c r="Y11" s="80" t="s">
        <v>11</v>
      </c>
      <c r="Z11" s="80" t="s">
        <v>11</v>
      </c>
      <c r="AA11" s="80" t="s">
        <v>11</v>
      </c>
      <c r="AB11" s="80" t="s">
        <v>11</v>
      </c>
      <c r="AC11" s="80" t="s">
        <v>11</v>
      </c>
      <c r="AD11" s="80" t="s">
        <v>11</v>
      </c>
      <c r="AE11" s="80" t="s">
        <v>11</v>
      </c>
      <c r="AF11" s="80" t="s">
        <v>11</v>
      </c>
      <c r="AG11" s="80" t="s">
        <v>12</v>
      </c>
      <c r="AH11" s="80" t="s">
        <v>12</v>
      </c>
      <c r="AI11" s="21">
        <f t="shared" si="0"/>
        <v>0.70967741935483875</v>
      </c>
    </row>
    <row r="12" spans="1:44" ht="15.75" customHeight="1" x14ac:dyDescent="0.25">
      <c r="A12" s="177" t="s">
        <v>16</v>
      </c>
      <c r="B12" s="178"/>
      <c r="C12" s="179"/>
      <c r="D12" s="16" t="s">
        <v>11</v>
      </c>
      <c r="E12" s="16" t="s">
        <v>12</v>
      </c>
      <c r="F12" s="16" t="s">
        <v>12</v>
      </c>
      <c r="G12" s="16" t="s">
        <v>12</v>
      </c>
      <c r="H12" s="16" t="s">
        <v>11</v>
      </c>
      <c r="I12" s="16" t="s">
        <v>11</v>
      </c>
      <c r="J12" s="16" t="s">
        <v>11</v>
      </c>
      <c r="K12" s="16" t="s">
        <v>12</v>
      </c>
      <c r="L12" s="16" t="s">
        <v>12</v>
      </c>
      <c r="M12" s="16" t="s">
        <v>12</v>
      </c>
      <c r="N12" s="16" t="s">
        <v>12</v>
      </c>
      <c r="O12" s="16" t="s">
        <v>11</v>
      </c>
      <c r="P12" s="16" t="s">
        <v>11</v>
      </c>
      <c r="Q12" s="16" t="s">
        <v>11</v>
      </c>
      <c r="R12" s="16" t="s">
        <v>11</v>
      </c>
      <c r="S12" s="80" t="s">
        <v>11</v>
      </c>
      <c r="T12" s="80" t="s">
        <v>11</v>
      </c>
      <c r="U12" s="80" t="s">
        <v>11</v>
      </c>
      <c r="V12" s="80" t="s">
        <v>11</v>
      </c>
      <c r="W12" s="80" t="s">
        <v>11</v>
      </c>
      <c r="X12" s="80" t="s">
        <v>11</v>
      </c>
      <c r="Y12" s="80" t="s">
        <v>11</v>
      </c>
      <c r="Z12" s="80" t="s">
        <v>11</v>
      </c>
      <c r="AA12" s="80" t="s">
        <v>11</v>
      </c>
      <c r="AB12" s="80" t="s">
        <v>11</v>
      </c>
      <c r="AC12" s="80" t="s">
        <v>11</v>
      </c>
      <c r="AD12" s="80" t="s">
        <v>11</v>
      </c>
      <c r="AE12" s="80" t="s">
        <v>11</v>
      </c>
      <c r="AF12" s="80" t="s">
        <v>11</v>
      </c>
      <c r="AG12" s="80" t="s">
        <v>12</v>
      </c>
      <c r="AH12" s="80" t="s">
        <v>12</v>
      </c>
      <c r="AI12" s="21">
        <f t="shared" si="0"/>
        <v>0.70967741935483875</v>
      </c>
    </row>
    <row r="13" spans="1:44" ht="15.75" customHeight="1" x14ac:dyDescent="0.25">
      <c r="A13" s="177" t="s">
        <v>17</v>
      </c>
      <c r="B13" s="178"/>
      <c r="C13" s="179"/>
      <c r="D13" s="16" t="s">
        <v>11</v>
      </c>
      <c r="E13" s="16" t="s">
        <v>12</v>
      </c>
      <c r="F13" s="16" t="s">
        <v>12</v>
      </c>
      <c r="G13" s="16" t="s">
        <v>12</v>
      </c>
      <c r="H13" s="16" t="s">
        <v>11</v>
      </c>
      <c r="I13" s="16" t="s">
        <v>11</v>
      </c>
      <c r="J13" s="16" t="s">
        <v>11</v>
      </c>
      <c r="K13" s="16" t="s">
        <v>12</v>
      </c>
      <c r="L13" s="16" t="s">
        <v>12</v>
      </c>
      <c r="M13" s="16" t="s">
        <v>12</v>
      </c>
      <c r="N13" s="16" t="s">
        <v>12</v>
      </c>
      <c r="O13" s="16" t="s">
        <v>11</v>
      </c>
      <c r="P13" s="16" t="s">
        <v>11</v>
      </c>
      <c r="Q13" s="16" t="s">
        <v>11</v>
      </c>
      <c r="R13" s="16" t="s">
        <v>11</v>
      </c>
      <c r="S13" s="80" t="s">
        <v>11</v>
      </c>
      <c r="T13" s="80" t="s">
        <v>11</v>
      </c>
      <c r="U13" s="80" t="s">
        <v>11</v>
      </c>
      <c r="V13" s="80" t="s">
        <v>11</v>
      </c>
      <c r="W13" s="80" t="s">
        <v>11</v>
      </c>
      <c r="X13" s="80" t="s">
        <v>11</v>
      </c>
      <c r="Y13" s="80" t="s">
        <v>11</v>
      </c>
      <c r="Z13" s="80" t="s">
        <v>11</v>
      </c>
      <c r="AA13" s="80" t="s">
        <v>11</v>
      </c>
      <c r="AB13" s="80" t="s">
        <v>11</v>
      </c>
      <c r="AC13" s="80" t="s">
        <v>11</v>
      </c>
      <c r="AD13" s="80" t="s">
        <v>11</v>
      </c>
      <c r="AE13" s="80" t="s">
        <v>11</v>
      </c>
      <c r="AF13" s="80" t="s">
        <v>11</v>
      </c>
      <c r="AG13" s="80" t="s">
        <v>12</v>
      </c>
      <c r="AH13" s="80" t="s">
        <v>12</v>
      </c>
      <c r="AI13" s="21">
        <f t="shared" si="0"/>
        <v>0.70967741935483875</v>
      </c>
    </row>
    <row r="14" spans="1:44" ht="15.75" customHeight="1" x14ac:dyDescent="0.25">
      <c r="A14" s="180" t="s">
        <v>18</v>
      </c>
      <c r="B14" s="181"/>
      <c r="C14" s="182"/>
      <c r="D14" s="73" t="s">
        <v>11</v>
      </c>
      <c r="E14" s="73" t="s">
        <v>12</v>
      </c>
      <c r="F14" s="73" t="s">
        <v>12</v>
      </c>
      <c r="G14" s="73" t="s">
        <v>12</v>
      </c>
      <c r="H14" s="73" t="s">
        <v>11</v>
      </c>
      <c r="I14" s="73" t="s">
        <v>11</v>
      </c>
      <c r="J14" s="73" t="s">
        <v>11</v>
      </c>
      <c r="K14" s="73" t="s">
        <v>12</v>
      </c>
      <c r="L14" s="73" t="s">
        <v>12</v>
      </c>
      <c r="M14" s="73" t="s">
        <v>12</v>
      </c>
      <c r="N14" s="73" t="s">
        <v>12</v>
      </c>
      <c r="O14" s="73" t="s">
        <v>11</v>
      </c>
      <c r="P14" s="73" t="s">
        <v>11</v>
      </c>
      <c r="Q14" s="73" t="s">
        <v>11</v>
      </c>
      <c r="R14" s="73" t="s">
        <v>11</v>
      </c>
      <c r="S14" s="73" t="s">
        <v>11</v>
      </c>
      <c r="T14" s="73" t="s">
        <v>11</v>
      </c>
      <c r="U14" s="73" t="s">
        <v>11</v>
      </c>
      <c r="V14" s="73" t="s">
        <v>11</v>
      </c>
      <c r="W14" s="73" t="s">
        <v>11</v>
      </c>
      <c r="X14" s="73" t="s">
        <v>11</v>
      </c>
      <c r="Y14" s="73" t="s">
        <v>11</v>
      </c>
      <c r="Z14" s="73" t="s">
        <v>11</v>
      </c>
      <c r="AA14" s="73" t="s">
        <v>11</v>
      </c>
      <c r="AB14" s="73" t="s">
        <v>11</v>
      </c>
      <c r="AC14" s="73" t="s">
        <v>11</v>
      </c>
      <c r="AD14" s="73" t="s">
        <v>11</v>
      </c>
      <c r="AE14" s="73" t="s">
        <v>11</v>
      </c>
      <c r="AF14" s="73" t="s">
        <v>11</v>
      </c>
      <c r="AG14" s="73" t="s">
        <v>12</v>
      </c>
      <c r="AH14" s="73" t="s">
        <v>12</v>
      </c>
      <c r="AI14" s="17">
        <f t="shared" si="0"/>
        <v>0.70967741935483875</v>
      </c>
    </row>
    <row r="15" spans="1:44" ht="15.75" customHeight="1" x14ac:dyDescent="0.25">
      <c r="A15" s="174" t="s">
        <v>19</v>
      </c>
      <c r="B15" s="175"/>
      <c r="C15" s="176"/>
      <c r="D15" s="20" t="s">
        <v>11</v>
      </c>
      <c r="E15" s="20" t="s">
        <v>11</v>
      </c>
      <c r="F15" s="20" t="s">
        <v>11</v>
      </c>
      <c r="G15" s="20" t="s">
        <v>11</v>
      </c>
      <c r="H15" s="20" t="s">
        <v>11</v>
      </c>
      <c r="I15" s="20" t="s">
        <v>11</v>
      </c>
      <c r="J15" s="20" t="s">
        <v>11</v>
      </c>
      <c r="K15" s="20" t="s">
        <v>11</v>
      </c>
      <c r="L15" s="20" t="s">
        <v>11</v>
      </c>
      <c r="M15" s="20" t="s">
        <v>11</v>
      </c>
      <c r="N15" s="20" t="s">
        <v>11</v>
      </c>
      <c r="O15" s="20" t="s">
        <v>11</v>
      </c>
      <c r="P15" s="20" t="s">
        <v>11</v>
      </c>
      <c r="Q15" s="20" t="s">
        <v>11</v>
      </c>
      <c r="R15" s="20" t="s">
        <v>11</v>
      </c>
      <c r="S15" s="20" t="s">
        <v>11</v>
      </c>
      <c r="T15" s="20" t="s">
        <v>11</v>
      </c>
      <c r="U15" s="20" t="s">
        <v>11</v>
      </c>
      <c r="V15" s="20" t="s">
        <v>11</v>
      </c>
      <c r="W15" s="20" t="s">
        <v>11</v>
      </c>
      <c r="X15" s="20" t="s">
        <v>11</v>
      </c>
      <c r="Y15" s="20" t="s">
        <v>11</v>
      </c>
      <c r="Z15" s="20" t="s">
        <v>11</v>
      </c>
      <c r="AA15" s="20" t="s">
        <v>11</v>
      </c>
      <c r="AB15" s="20" t="s">
        <v>11</v>
      </c>
      <c r="AC15" s="20" t="s">
        <v>11</v>
      </c>
      <c r="AD15" s="20" t="s">
        <v>11</v>
      </c>
      <c r="AE15" s="20" t="s">
        <v>11</v>
      </c>
      <c r="AF15" s="20" t="s">
        <v>11</v>
      </c>
      <c r="AG15" s="20" t="s">
        <v>11</v>
      </c>
      <c r="AH15" s="20" t="s">
        <v>11</v>
      </c>
      <c r="AI15" s="13">
        <f t="shared" si="0"/>
        <v>1</v>
      </c>
    </row>
    <row r="16" spans="1:44" ht="15.75" customHeight="1" x14ac:dyDescent="0.25">
      <c r="A16" s="177" t="s">
        <v>20</v>
      </c>
      <c r="B16" s="178"/>
      <c r="C16" s="179"/>
      <c r="D16" s="16" t="s">
        <v>11</v>
      </c>
      <c r="E16" s="16" t="s">
        <v>11</v>
      </c>
      <c r="F16" s="16" t="s">
        <v>11</v>
      </c>
      <c r="G16" s="16" t="s">
        <v>11</v>
      </c>
      <c r="H16" s="16" t="s">
        <v>11</v>
      </c>
      <c r="I16" s="16" t="s">
        <v>11</v>
      </c>
      <c r="J16" s="16" t="s">
        <v>11</v>
      </c>
      <c r="K16" s="16" t="s">
        <v>11</v>
      </c>
      <c r="L16" s="16" t="s">
        <v>11</v>
      </c>
      <c r="M16" s="16" t="s">
        <v>11</v>
      </c>
      <c r="N16" s="16" t="s">
        <v>11</v>
      </c>
      <c r="O16" s="16" t="s">
        <v>11</v>
      </c>
      <c r="P16" s="16" t="s">
        <v>11</v>
      </c>
      <c r="Q16" s="16" t="s">
        <v>11</v>
      </c>
      <c r="R16" s="16" t="s">
        <v>11</v>
      </c>
      <c r="S16" s="16" t="s">
        <v>11</v>
      </c>
      <c r="T16" s="16" t="s">
        <v>11</v>
      </c>
      <c r="U16" s="16" t="s">
        <v>11</v>
      </c>
      <c r="V16" s="16" t="s">
        <v>11</v>
      </c>
      <c r="W16" s="16" t="s">
        <v>11</v>
      </c>
      <c r="X16" s="16" t="s">
        <v>11</v>
      </c>
      <c r="Y16" s="16" t="s">
        <v>11</v>
      </c>
      <c r="Z16" s="16" t="s">
        <v>11</v>
      </c>
      <c r="AA16" s="16" t="s">
        <v>11</v>
      </c>
      <c r="AB16" s="16" t="s">
        <v>11</v>
      </c>
      <c r="AC16" s="16" t="s">
        <v>11</v>
      </c>
      <c r="AD16" s="16" t="s">
        <v>11</v>
      </c>
      <c r="AE16" s="16" t="s">
        <v>11</v>
      </c>
      <c r="AF16" s="16" t="s">
        <v>11</v>
      </c>
      <c r="AG16" s="16" t="s">
        <v>11</v>
      </c>
      <c r="AH16" s="16" t="s">
        <v>11</v>
      </c>
      <c r="AI16" s="21">
        <f t="shared" si="0"/>
        <v>1</v>
      </c>
    </row>
    <row r="17" spans="1:35" ht="15.75" customHeight="1" x14ac:dyDescent="0.25">
      <c r="A17" s="180" t="s">
        <v>92</v>
      </c>
      <c r="B17" s="181"/>
      <c r="C17" s="182"/>
      <c r="D17" s="16" t="s">
        <v>11</v>
      </c>
      <c r="E17" s="16" t="s">
        <v>11</v>
      </c>
      <c r="F17" s="16" t="s">
        <v>11</v>
      </c>
      <c r="G17" s="16" t="s">
        <v>11</v>
      </c>
      <c r="H17" s="16" t="s">
        <v>11</v>
      </c>
      <c r="I17" s="16" t="s">
        <v>11</v>
      </c>
      <c r="J17" s="16" t="s">
        <v>11</v>
      </c>
      <c r="K17" s="16" t="s">
        <v>11</v>
      </c>
      <c r="L17" s="16" t="s">
        <v>11</v>
      </c>
      <c r="M17" s="16" t="s">
        <v>11</v>
      </c>
      <c r="N17" s="16" t="s">
        <v>11</v>
      </c>
      <c r="O17" s="16" t="s">
        <v>11</v>
      </c>
      <c r="P17" s="16" t="s">
        <v>11</v>
      </c>
      <c r="Q17" s="16" t="s">
        <v>11</v>
      </c>
      <c r="R17" s="16" t="s">
        <v>11</v>
      </c>
      <c r="S17" s="16" t="s">
        <v>11</v>
      </c>
      <c r="T17" s="16" t="s">
        <v>11</v>
      </c>
      <c r="U17" s="16" t="s">
        <v>11</v>
      </c>
      <c r="V17" s="16" t="s">
        <v>11</v>
      </c>
      <c r="W17" s="16" t="s">
        <v>11</v>
      </c>
      <c r="X17" s="16" t="s">
        <v>11</v>
      </c>
      <c r="Y17" s="16" t="s">
        <v>11</v>
      </c>
      <c r="Z17" s="16" t="s">
        <v>11</v>
      </c>
      <c r="AA17" s="16" t="s">
        <v>11</v>
      </c>
      <c r="AB17" s="16" t="s">
        <v>11</v>
      </c>
      <c r="AC17" s="16" t="s">
        <v>11</v>
      </c>
      <c r="AD17" s="16" t="s">
        <v>11</v>
      </c>
      <c r="AE17" s="16" t="s">
        <v>11</v>
      </c>
      <c r="AF17" s="16" t="s">
        <v>11</v>
      </c>
      <c r="AG17" s="16" t="s">
        <v>11</v>
      </c>
      <c r="AH17" s="16" t="s">
        <v>11</v>
      </c>
      <c r="AI17" s="17">
        <f t="shared" si="0"/>
        <v>1</v>
      </c>
    </row>
    <row r="18" spans="1:35" ht="15.75" customHeight="1" x14ac:dyDescent="0.25">
      <c r="A18" s="174" t="s">
        <v>21</v>
      </c>
      <c r="B18" s="175"/>
      <c r="C18" s="176"/>
      <c r="D18" s="22" t="s">
        <v>11</v>
      </c>
      <c r="E18" s="22" t="s">
        <v>11</v>
      </c>
      <c r="F18" s="22" t="s">
        <v>11</v>
      </c>
      <c r="G18" s="22" t="s">
        <v>11</v>
      </c>
      <c r="H18" s="22" t="s">
        <v>11</v>
      </c>
      <c r="I18" s="22" t="s">
        <v>11</v>
      </c>
      <c r="J18" s="22" t="s">
        <v>11</v>
      </c>
      <c r="K18" s="22" t="s">
        <v>11</v>
      </c>
      <c r="L18" s="22" t="s">
        <v>11</v>
      </c>
      <c r="M18" s="22" t="s">
        <v>11</v>
      </c>
      <c r="N18" s="22" t="s">
        <v>11</v>
      </c>
      <c r="O18" s="22" t="s">
        <v>11</v>
      </c>
      <c r="P18" s="22" t="s">
        <v>11</v>
      </c>
      <c r="Q18" s="22" t="s">
        <v>11</v>
      </c>
      <c r="R18" s="22" t="s">
        <v>11</v>
      </c>
      <c r="S18" s="22" t="s">
        <v>11</v>
      </c>
      <c r="T18" s="22" t="s">
        <v>11</v>
      </c>
      <c r="U18" s="22" t="s">
        <v>11</v>
      </c>
      <c r="V18" s="22" t="s">
        <v>11</v>
      </c>
      <c r="W18" s="22" t="s">
        <v>11</v>
      </c>
      <c r="X18" s="22" t="s">
        <v>11</v>
      </c>
      <c r="Y18" s="22" t="s">
        <v>11</v>
      </c>
      <c r="Z18" s="22" t="s">
        <v>11</v>
      </c>
      <c r="AA18" s="22" t="s">
        <v>11</v>
      </c>
      <c r="AB18" s="22" t="s">
        <v>11</v>
      </c>
      <c r="AC18" s="22" t="s">
        <v>11</v>
      </c>
      <c r="AD18" s="22" t="s">
        <v>11</v>
      </c>
      <c r="AE18" s="22" t="s">
        <v>11</v>
      </c>
      <c r="AF18" s="22" t="s">
        <v>11</v>
      </c>
      <c r="AG18" s="22" t="s">
        <v>11</v>
      </c>
      <c r="AH18" s="20" t="s">
        <v>11</v>
      </c>
      <c r="AI18" s="13">
        <f t="shared" si="0"/>
        <v>1</v>
      </c>
    </row>
    <row r="19" spans="1:35" ht="15.75" customHeight="1" x14ac:dyDescent="0.25">
      <c r="A19" s="177" t="s">
        <v>23</v>
      </c>
      <c r="B19" s="178"/>
      <c r="C19" s="179"/>
      <c r="D19" s="23" t="s">
        <v>11</v>
      </c>
      <c r="E19" s="23" t="s">
        <v>11</v>
      </c>
      <c r="F19" s="23" t="s">
        <v>11</v>
      </c>
      <c r="G19" s="23" t="s">
        <v>11</v>
      </c>
      <c r="H19" s="23" t="s">
        <v>11</v>
      </c>
      <c r="I19" s="23" t="s">
        <v>11</v>
      </c>
      <c r="J19" s="23" t="s">
        <v>11</v>
      </c>
      <c r="K19" s="23" t="s">
        <v>11</v>
      </c>
      <c r="L19" s="23" t="s">
        <v>11</v>
      </c>
      <c r="M19" s="23" t="s">
        <v>11</v>
      </c>
      <c r="N19" s="23" t="s">
        <v>11</v>
      </c>
      <c r="O19" s="23" t="s">
        <v>11</v>
      </c>
      <c r="P19" s="23" t="s">
        <v>11</v>
      </c>
      <c r="Q19" s="23" t="s">
        <v>11</v>
      </c>
      <c r="R19" s="23" t="s">
        <v>11</v>
      </c>
      <c r="S19" s="23" t="s">
        <v>11</v>
      </c>
      <c r="T19" s="23" t="s">
        <v>11</v>
      </c>
      <c r="U19" s="23" t="s">
        <v>11</v>
      </c>
      <c r="V19" s="23" t="s">
        <v>11</v>
      </c>
      <c r="W19" s="23" t="s">
        <v>11</v>
      </c>
      <c r="X19" s="23" t="s">
        <v>11</v>
      </c>
      <c r="Y19" s="23" t="s">
        <v>11</v>
      </c>
      <c r="Z19" s="23" t="s">
        <v>11</v>
      </c>
      <c r="AA19" s="23" t="s">
        <v>11</v>
      </c>
      <c r="AB19" s="23" t="s">
        <v>11</v>
      </c>
      <c r="AC19" s="23" t="s">
        <v>11</v>
      </c>
      <c r="AD19" s="23" t="s">
        <v>11</v>
      </c>
      <c r="AE19" s="23" t="s">
        <v>11</v>
      </c>
      <c r="AF19" s="23" t="s">
        <v>11</v>
      </c>
      <c r="AG19" s="23" t="s">
        <v>11</v>
      </c>
      <c r="AH19" s="16" t="s">
        <v>11</v>
      </c>
      <c r="AI19" s="21">
        <f t="shared" si="0"/>
        <v>1</v>
      </c>
    </row>
    <row r="20" spans="1:35" ht="15.75" customHeight="1" x14ac:dyDescent="0.25">
      <c r="A20" s="177" t="s">
        <v>24</v>
      </c>
      <c r="B20" s="178"/>
      <c r="C20" s="179"/>
      <c r="D20" s="23" t="s">
        <v>11</v>
      </c>
      <c r="E20" s="23" t="s">
        <v>11</v>
      </c>
      <c r="F20" s="23" t="s">
        <v>11</v>
      </c>
      <c r="G20" s="23" t="s">
        <v>11</v>
      </c>
      <c r="H20" s="23" t="s">
        <v>11</v>
      </c>
      <c r="I20" s="23" t="s">
        <v>11</v>
      </c>
      <c r="J20" s="23" t="s">
        <v>11</v>
      </c>
      <c r="K20" s="23" t="s">
        <v>11</v>
      </c>
      <c r="L20" s="23" t="s">
        <v>11</v>
      </c>
      <c r="M20" s="23" t="s">
        <v>11</v>
      </c>
      <c r="N20" s="23" t="s">
        <v>11</v>
      </c>
      <c r="O20" s="23" t="s">
        <v>11</v>
      </c>
      <c r="P20" s="23" t="s">
        <v>11</v>
      </c>
      <c r="Q20" s="23" t="s">
        <v>11</v>
      </c>
      <c r="R20" s="23" t="s">
        <v>11</v>
      </c>
      <c r="S20" s="23" t="s">
        <v>11</v>
      </c>
      <c r="T20" s="23" t="s">
        <v>11</v>
      </c>
      <c r="U20" s="23" t="s">
        <v>11</v>
      </c>
      <c r="V20" s="23" t="s">
        <v>11</v>
      </c>
      <c r="W20" s="23" t="s">
        <v>11</v>
      </c>
      <c r="X20" s="23" t="s">
        <v>11</v>
      </c>
      <c r="Y20" s="23" t="s">
        <v>11</v>
      </c>
      <c r="Z20" s="23" t="s">
        <v>11</v>
      </c>
      <c r="AA20" s="23" t="s">
        <v>11</v>
      </c>
      <c r="AB20" s="23" t="s">
        <v>11</v>
      </c>
      <c r="AC20" s="23" t="s">
        <v>11</v>
      </c>
      <c r="AD20" s="23" t="s">
        <v>11</v>
      </c>
      <c r="AE20" s="23" t="s">
        <v>11</v>
      </c>
      <c r="AF20" s="23" t="s">
        <v>11</v>
      </c>
      <c r="AG20" s="23" t="s">
        <v>11</v>
      </c>
      <c r="AH20" s="16" t="s">
        <v>11</v>
      </c>
      <c r="AI20" s="21">
        <f t="shared" si="0"/>
        <v>1</v>
      </c>
    </row>
    <row r="21" spans="1:35" ht="15.75" customHeight="1" x14ac:dyDescent="0.25">
      <c r="A21" s="180" t="s">
        <v>25</v>
      </c>
      <c r="B21" s="181"/>
      <c r="C21" s="182"/>
      <c r="D21" s="14" t="s">
        <v>11</v>
      </c>
      <c r="E21" s="14" t="s">
        <v>11</v>
      </c>
      <c r="F21" s="14" t="s">
        <v>11</v>
      </c>
      <c r="G21" s="14" t="s">
        <v>11</v>
      </c>
      <c r="H21" s="14" t="s">
        <v>11</v>
      </c>
      <c r="I21" s="14" t="s">
        <v>11</v>
      </c>
      <c r="J21" s="14" t="s">
        <v>11</v>
      </c>
      <c r="K21" s="14" t="s">
        <v>11</v>
      </c>
      <c r="L21" s="14" t="s">
        <v>11</v>
      </c>
      <c r="M21" s="14" t="s">
        <v>11</v>
      </c>
      <c r="N21" s="14" t="s">
        <v>11</v>
      </c>
      <c r="O21" s="14" t="s">
        <v>11</v>
      </c>
      <c r="P21" s="14" t="s">
        <v>11</v>
      </c>
      <c r="Q21" s="14" t="s">
        <v>11</v>
      </c>
      <c r="R21" s="14" t="s">
        <v>11</v>
      </c>
      <c r="S21" s="14" t="s">
        <v>11</v>
      </c>
      <c r="T21" s="14" t="s">
        <v>11</v>
      </c>
      <c r="U21" s="14" t="s">
        <v>11</v>
      </c>
      <c r="V21" s="14" t="s">
        <v>11</v>
      </c>
      <c r="W21" s="14" t="s">
        <v>11</v>
      </c>
      <c r="X21" s="14" t="s">
        <v>11</v>
      </c>
      <c r="Y21" s="14" t="s">
        <v>11</v>
      </c>
      <c r="Z21" s="14" t="s">
        <v>11</v>
      </c>
      <c r="AA21" s="14" t="s">
        <v>11</v>
      </c>
      <c r="AB21" s="14" t="s">
        <v>11</v>
      </c>
      <c r="AC21" s="14" t="s">
        <v>11</v>
      </c>
      <c r="AD21" s="14" t="s">
        <v>11</v>
      </c>
      <c r="AE21" s="14" t="s">
        <v>11</v>
      </c>
      <c r="AF21" s="14" t="s">
        <v>11</v>
      </c>
      <c r="AG21" s="14" t="s">
        <v>11</v>
      </c>
      <c r="AH21" s="15" t="s">
        <v>11</v>
      </c>
      <c r="AI21" s="17">
        <f t="shared" si="0"/>
        <v>1</v>
      </c>
    </row>
    <row r="22" spans="1:35" ht="15.75" customHeight="1" x14ac:dyDescent="0.25">
      <c r="A22" s="162" t="s">
        <v>26</v>
      </c>
      <c r="B22" s="163"/>
      <c r="C22" s="164"/>
      <c r="D22" s="81" t="s">
        <v>11</v>
      </c>
      <c r="E22" s="81" t="s">
        <v>11</v>
      </c>
      <c r="F22" s="81" t="s">
        <v>11</v>
      </c>
      <c r="G22" s="81" t="s">
        <v>22</v>
      </c>
      <c r="H22" s="81" t="s">
        <v>12</v>
      </c>
      <c r="I22" s="81" t="s">
        <v>22</v>
      </c>
      <c r="J22" s="81" t="s">
        <v>22</v>
      </c>
      <c r="K22" s="81" t="s">
        <v>22</v>
      </c>
      <c r="L22" s="81" t="s">
        <v>22</v>
      </c>
      <c r="M22" s="81" t="s">
        <v>22</v>
      </c>
      <c r="N22" s="81" t="s">
        <v>22</v>
      </c>
      <c r="O22" s="81" t="s">
        <v>22</v>
      </c>
      <c r="P22" s="81" t="s">
        <v>22</v>
      </c>
      <c r="Q22" s="81" t="s">
        <v>22</v>
      </c>
      <c r="R22" s="81" t="s">
        <v>11</v>
      </c>
      <c r="S22" s="81" t="s">
        <v>11</v>
      </c>
      <c r="T22" s="81" t="s">
        <v>11</v>
      </c>
      <c r="U22" s="81" t="s">
        <v>22</v>
      </c>
      <c r="V22" s="81" t="s">
        <v>22</v>
      </c>
      <c r="W22" s="81" t="s">
        <v>11</v>
      </c>
      <c r="X22" s="81" t="s">
        <v>11</v>
      </c>
      <c r="Y22" s="81" t="s">
        <v>11</v>
      </c>
      <c r="Z22" s="81" t="s">
        <v>22</v>
      </c>
      <c r="AA22" s="81" t="s">
        <v>22</v>
      </c>
      <c r="AB22" s="81" t="s">
        <v>22</v>
      </c>
      <c r="AC22" s="81" t="s">
        <v>22</v>
      </c>
      <c r="AD22" s="81" t="s">
        <v>22</v>
      </c>
      <c r="AE22" s="81" t="s">
        <v>22</v>
      </c>
      <c r="AF22" s="81" t="s">
        <v>11</v>
      </c>
      <c r="AG22" s="81" t="s">
        <v>22</v>
      </c>
      <c r="AH22" s="81" t="s">
        <v>12</v>
      </c>
      <c r="AI22" s="19">
        <f t="shared" si="0"/>
        <v>0.93548387096774188</v>
      </c>
    </row>
    <row r="23" spans="1:35" ht="15.75" customHeight="1" x14ac:dyDescent="0.25">
      <c r="A23" s="174" t="s">
        <v>27</v>
      </c>
      <c r="B23" s="175"/>
      <c r="C23" s="176"/>
      <c r="D23" s="20" t="s">
        <v>11</v>
      </c>
      <c r="E23" s="20" t="s">
        <v>11</v>
      </c>
      <c r="F23" s="20" t="s">
        <v>11</v>
      </c>
      <c r="G23" s="20" t="s">
        <v>11</v>
      </c>
      <c r="H23" s="20" t="s">
        <v>11</v>
      </c>
      <c r="I23" s="20" t="s">
        <v>11</v>
      </c>
      <c r="J23" s="20" t="s">
        <v>11</v>
      </c>
      <c r="K23" s="20" t="s">
        <v>11</v>
      </c>
      <c r="L23" s="20" t="s">
        <v>11</v>
      </c>
      <c r="M23" s="20" t="s">
        <v>11</v>
      </c>
      <c r="N23" s="20" t="s">
        <v>11</v>
      </c>
      <c r="O23" s="20" t="s">
        <v>11</v>
      </c>
      <c r="P23" s="20" t="s">
        <v>11</v>
      </c>
      <c r="Q23" s="20" t="s">
        <v>11</v>
      </c>
      <c r="R23" s="20" t="s">
        <v>11</v>
      </c>
      <c r="S23" s="20" t="s">
        <v>11</v>
      </c>
      <c r="T23" s="20" t="s">
        <v>11</v>
      </c>
      <c r="U23" s="20" t="s">
        <v>11</v>
      </c>
      <c r="V23" s="20" t="s">
        <v>11</v>
      </c>
      <c r="W23" s="20" t="s">
        <v>11</v>
      </c>
      <c r="X23" s="20" t="s">
        <v>11</v>
      </c>
      <c r="Y23" s="20" t="s">
        <v>11</v>
      </c>
      <c r="Z23" s="20" t="s">
        <v>11</v>
      </c>
      <c r="AA23" s="20" t="s">
        <v>11</v>
      </c>
      <c r="AB23" s="20" t="s">
        <v>11</v>
      </c>
      <c r="AC23" s="20" t="s">
        <v>11</v>
      </c>
      <c r="AD23" s="20" t="s">
        <v>11</v>
      </c>
      <c r="AE23" s="20" t="s">
        <v>11</v>
      </c>
      <c r="AF23" s="20" t="s">
        <v>11</v>
      </c>
      <c r="AG23" s="20" t="s">
        <v>11</v>
      </c>
      <c r="AH23" s="20" t="s">
        <v>11</v>
      </c>
      <c r="AI23" s="13">
        <f t="shared" si="0"/>
        <v>1</v>
      </c>
    </row>
    <row r="24" spans="1:35" ht="15.75" customHeight="1" x14ac:dyDescent="0.25">
      <c r="A24" s="180" t="s">
        <v>28</v>
      </c>
      <c r="B24" s="181"/>
      <c r="C24" s="182"/>
      <c r="D24" s="15" t="s">
        <v>11</v>
      </c>
      <c r="E24" s="15" t="s">
        <v>11</v>
      </c>
      <c r="F24" s="15" t="s">
        <v>11</v>
      </c>
      <c r="G24" s="15" t="s">
        <v>11</v>
      </c>
      <c r="H24" s="15" t="s">
        <v>11</v>
      </c>
      <c r="I24" s="15" t="s">
        <v>11</v>
      </c>
      <c r="J24" s="15" t="s">
        <v>11</v>
      </c>
      <c r="K24" s="15" t="s">
        <v>11</v>
      </c>
      <c r="L24" s="15" t="s">
        <v>11</v>
      </c>
      <c r="M24" s="15" t="s">
        <v>11</v>
      </c>
      <c r="N24" s="15" t="s">
        <v>11</v>
      </c>
      <c r="O24" s="15" t="s">
        <v>11</v>
      </c>
      <c r="P24" s="15" t="s">
        <v>11</v>
      </c>
      <c r="Q24" s="15" t="s">
        <v>11</v>
      </c>
      <c r="R24" s="15" t="s">
        <v>11</v>
      </c>
      <c r="S24" s="15" t="s">
        <v>11</v>
      </c>
      <c r="T24" s="15" t="s">
        <v>11</v>
      </c>
      <c r="U24" s="15" t="s">
        <v>11</v>
      </c>
      <c r="V24" s="15" t="s">
        <v>11</v>
      </c>
      <c r="W24" s="15" t="s">
        <v>11</v>
      </c>
      <c r="X24" s="15" t="s">
        <v>11</v>
      </c>
      <c r="Y24" s="15" t="s">
        <v>11</v>
      </c>
      <c r="Z24" s="15" t="s">
        <v>11</v>
      </c>
      <c r="AA24" s="15" t="s">
        <v>11</v>
      </c>
      <c r="AB24" s="15" t="s">
        <v>11</v>
      </c>
      <c r="AC24" s="15" t="s">
        <v>11</v>
      </c>
      <c r="AD24" s="15" t="s">
        <v>11</v>
      </c>
      <c r="AE24" s="15" t="s">
        <v>11</v>
      </c>
      <c r="AF24" s="15" t="s">
        <v>11</v>
      </c>
      <c r="AG24" s="15" t="s">
        <v>11</v>
      </c>
      <c r="AH24" s="15" t="s">
        <v>11</v>
      </c>
      <c r="AI24" s="17">
        <f t="shared" si="0"/>
        <v>1</v>
      </c>
    </row>
    <row r="25" spans="1:35" ht="15.75" customHeight="1" x14ac:dyDescent="0.25">
      <c r="A25" s="162" t="s">
        <v>29</v>
      </c>
      <c r="B25" s="163"/>
      <c r="C25" s="164"/>
      <c r="D25" s="81" t="s">
        <v>11</v>
      </c>
      <c r="E25" s="81" t="s">
        <v>11</v>
      </c>
      <c r="F25" s="81" t="s">
        <v>11</v>
      </c>
      <c r="G25" s="81" t="s">
        <v>11</v>
      </c>
      <c r="H25" s="81" t="s">
        <v>11</v>
      </c>
      <c r="I25" s="81" t="s">
        <v>11</v>
      </c>
      <c r="J25" s="81" t="s">
        <v>11</v>
      </c>
      <c r="K25" s="81" t="s">
        <v>11</v>
      </c>
      <c r="L25" s="81" t="s">
        <v>11</v>
      </c>
      <c r="M25" s="81" t="s">
        <v>11</v>
      </c>
      <c r="N25" s="81" t="s">
        <v>11</v>
      </c>
      <c r="O25" s="81" t="s">
        <v>11</v>
      </c>
      <c r="P25" s="81" t="s">
        <v>11</v>
      </c>
      <c r="Q25" s="81" t="s">
        <v>11</v>
      </c>
      <c r="R25" s="81" t="s">
        <v>11</v>
      </c>
      <c r="S25" s="81" t="s">
        <v>11</v>
      </c>
      <c r="T25" s="81" t="s">
        <v>11</v>
      </c>
      <c r="U25" s="81" t="s">
        <v>11</v>
      </c>
      <c r="V25" s="81" t="s">
        <v>11</v>
      </c>
      <c r="W25" s="81" t="s">
        <v>22</v>
      </c>
      <c r="X25" s="81" t="s">
        <v>11</v>
      </c>
      <c r="Y25" s="81" t="s">
        <v>11</v>
      </c>
      <c r="Z25" s="81" t="s">
        <v>11</v>
      </c>
      <c r="AA25" s="81" t="s">
        <v>11</v>
      </c>
      <c r="AB25" s="81" t="s">
        <v>11</v>
      </c>
      <c r="AC25" s="81" t="s">
        <v>11</v>
      </c>
      <c r="AD25" s="81" t="s">
        <v>11</v>
      </c>
      <c r="AE25" s="81" t="s">
        <v>11</v>
      </c>
      <c r="AF25" s="81" t="s">
        <v>11</v>
      </c>
      <c r="AG25" s="81" t="s">
        <v>11</v>
      </c>
      <c r="AH25" s="81" t="s">
        <v>11</v>
      </c>
      <c r="AI25" s="19">
        <f t="shared" si="0"/>
        <v>1</v>
      </c>
    </row>
    <row r="26" spans="1:35" ht="15.75" customHeight="1" x14ac:dyDescent="0.25">
      <c r="A26" s="162" t="s">
        <v>30</v>
      </c>
      <c r="B26" s="163"/>
      <c r="C26" s="164"/>
      <c r="D26" s="81" t="s">
        <v>11</v>
      </c>
      <c r="E26" s="81" t="s">
        <v>11</v>
      </c>
      <c r="F26" s="81" t="s">
        <v>11</v>
      </c>
      <c r="G26" s="81" t="s">
        <v>11</v>
      </c>
      <c r="H26" s="81" t="s">
        <v>11</v>
      </c>
      <c r="I26" s="81" t="s">
        <v>11</v>
      </c>
      <c r="J26" s="81" t="s">
        <v>11</v>
      </c>
      <c r="K26" s="81" t="s">
        <v>11</v>
      </c>
      <c r="L26" s="81" t="s">
        <v>11</v>
      </c>
      <c r="M26" s="81" t="s">
        <v>11</v>
      </c>
      <c r="N26" s="81" t="s">
        <v>11</v>
      </c>
      <c r="O26" s="81" t="s">
        <v>11</v>
      </c>
      <c r="P26" s="81" t="s">
        <v>11</v>
      </c>
      <c r="Q26" s="81" t="s">
        <v>11</v>
      </c>
      <c r="R26" s="81" t="s">
        <v>11</v>
      </c>
      <c r="S26" s="81" t="s">
        <v>11</v>
      </c>
      <c r="T26" s="81" t="s">
        <v>11</v>
      </c>
      <c r="U26" s="81" t="s">
        <v>11</v>
      </c>
      <c r="V26" s="81" t="s">
        <v>11</v>
      </c>
      <c r="W26" s="81" t="s">
        <v>22</v>
      </c>
      <c r="X26" s="81" t="s">
        <v>11</v>
      </c>
      <c r="Y26" s="81" t="s">
        <v>11</v>
      </c>
      <c r="Z26" s="81" t="s">
        <v>11</v>
      </c>
      <c r="AA26" s="81" t="s">
        <v>11</v>
      </c>
      <c r="AB26" s="81" t="s">
        <v>11</v>
      </c>
      <c r="AC26" s="81" t="s">
        <v>11</v>
      </c>
      <c r="AD26" s="81" t="s">
        <v>11</v>
      </c>
      <c r="AE26" s="81" t="s">
        <v>11</v>
      </c>
      <c r="AF26" s="81" t="s">
        <v>11</v>
      </c>
      <c r="AG26" s="81" t="s">
        <v>11</v>
      </c>
      <c r="AH26" s="81" t="s">
        <v>11</v>
      </c>
      <c r="AI26" s="19">
        <f t="shared" si="0"/>
        <v>1</v>
      </c>
    </row>
    <row r="27" spans="1:35" ht="15.75" customHeight="1" x14ac:dyDescent="0.25">
      <c r="A27" s="156" t="s">
        <v>31</v>
      </c>
      <c r="B27" s="157"/>
      <c r="C27" s="158"/>
      <c r="D27" s="72" t="s">
        <v>8</v>
      </c>
      <c r="E27" s="72" t="s">
        <v>8</v>
      </c>
      <c r="F27" s="72" t="s">
        <v>8</v>
      </c>
      <c r="G27" s="72" t="s">
        <v>8</v>
      </c>
      <c r="H27" s="72" t="s">
        <v>8</v>
      </c>
      <c r="I27" s="72" t="s">
        <v>8</v>
      </c>
      <c r="J27" s="72" t="s">
        <v>8</v>
      </c>
      <c r="K27" s="72" t="s">
        <v>9</v>
      </c>
      <c r="L27" s="72" t="s">
        <v>9</v>
      </c>
      <c r="M27" s="72" t="s">
        <v>9</v>
      </c>
      <c r="N27" s="72" t="s">
        <v>9</v>
      </c>
      <c r="O27" s="72" t="s">
        <v>9</v>
      </c>
      <c r="P27" s="72" t="s">
        <v>9</v>
      </c>
      <c r="Q27" s="72" t="s">
        <v>9</v>
      </c>
      <c r="R27" s="72" t="s">
        <v>8</v>
      </c>
      <c r="S27" s="72" t="s">
        <v>8</v>
      </c>
      <c r="T27" s="72" t="s">
        <v>8</v>
      </c>
      <c r="U27" s="72" t="s">
        <v>8</v>
      </c>
      <c r="V27" s="72" t="s">
        <v>8</v>
      </c>
      <c r="W27" s="72" t="s">
        <v>9</v>
      </c>
      <c r="X27" s="72" t="s">
        <v>8</v>
      </c>
      <c r="Y27" s="72" t="s">
        <v>8</v>
      </c>
      <c r="Z27" s="72" t="s">
        <v>8</v>
      </c>
      <c r="AA27" s="72" t="s">
        <v>8</v>
      </c>
      <c r="AB27" s="72" t="s">
        <v>8</v>
      </c>
      <c r="AC27" s="72" t="s">
        <v>8</v>
      </c>
      <c r="AD27" s="72" t="s">
        <v>9</v>
      </c>
      <c r="AE27" s="72" t="s">
        <v>9</v>
      </c>
      <c r="AF27" s="72" t="s">
        <v>9</v>
      </c>
      <c r="AG27" s="72" t="s">
        <v>9</v>
      </c>
      <c r="AH27" s="72" t="s">
        <v>22</v>
      </c>
      <c r="AI27" s="13">
        <f t="shared" si="0"/>
        <v>1</v>
      </c>
    </row>
    <row r="28" spans="1:35" ht="15.75" customHeight="1" x14ac:dyDescent="0.25">
      <c r="A28" s="183" t="s">
        <v>32</v>
      </c>
      <c r="B28" s="184"/>
      <c r="C28" s="185"/>
      <c r="D28" s="82">
        <v>3</v>
      </c>
      <c r="E28" s="82" t="s">
        <v>115</v>
      </c>
      <c r="F28" s="82" t="s">
        <v>115</v>
      </c>
      <c r="G28" s="82" t="s">
        <v>114</v>
      </c>
      <c r="H28" s="82">
        <v>3</v>
      </c>
      <c r="I28" s="82">
        <v>3</v>
      </c>
      <c r="J28" s="82" t="s">
        <v>114</v>
      </c>
      <c r="K28" s="82" t="s">
        <v>115</v>
      </c>
      <c r="L28" s="82" t="s">
        <v>115</v>
      </c>
      <c r="M28" s="82" t="s">
        <v>115</v>
      </c>
      <c r="N28" s="82">
        <v>2</v>
      </c>
      <c r="O28" s="82">
        <v>3</v>
      </c>
      <c r="P28" s="82">
        <v>3</v>
      </c>
      <c r="Q28" s="82">
        <v>3</v>
      </c>
      <c r="R28" s="82">
        <v>4</v>
      </c>
      <c r="S28" s="82">
        <v>4</v>
      </c>
      <c r="T28" s="82">
        <v>4</v>
      </c>
      <c r="U28" s="82">
        <v>4</v>
      </c>
      <c r="V28" s="82">
        <v>3</v>
      </c>
      <c r="W28" s="82" t="s">
        <v>114</v>
      </c>
      <c r="X28" s="82" t="s">
        <v>114</v>
      </c>
      <c r="Y28" s="82">
        <v>3</v>
      </c>
      <c r="Z28" s="82">
        <v>4</v>
      </c>
      <c r="AA28" s="28">
        <v>2</v>
      </c>
      <c r="AB28" s="28">
        <v>4</v>
      </c>
      <c r="AC28" s="28">
        <v>3</v>
      </c>
      <c r="AD28" s="28">
        <v>3</v>
      </c>
      <c r="AE28" s="28">
        <v>3</v>
      </c>
      <c r="AF28" s="28">
        <v>2</v>
      </c>
      <c r="AG28" s="28">
        <v>2</v>
      </c>
      <c r="AH28" s="28">
        <v>2</v>
      </c>
      <c r="AI28" s="17">
        <f>IF(COUNTA(D28:AH28)&gt;0,(COUNTA(D28:AH28)-COUNTIF(D28:AH28,"NB")-COUNTIF(D28:AH28,"DN")-COUNTIF(D28:AH28,"An")-COUNTIF(D28:AH28,"NB^")-COUNTIF(D28:AH28,0))/COUNTA(D28:AH28),"")</f>
        <v>1</v>
      </c>
    </row>
    <row r="29" spans="1:35" ht="15.75" customHeight="1" x14ac:dyDescent="0.25">
      <c r="A29" s="171" t="s">
        <v>97</v>
      </c>
      <c r="B29" s="172"/>
      <c r="C29" s="173"/>
      <c r="D29" s="83">
        <v>0</v>
      </c>
      <c r="E29" s="83">
        <v>0</v>
      </c>
      <c r="F29" s="83">
        <v>0</v>
      </c>
      <c r="G29" s="83" t="s">
        <v>170</v>
      </c>
      <c r="H29" s="83">
        <v>0</v>
      </c>
      <c r="I29" s="83">
        <v>0</v>
      </c>
      <c r="J29" s="83">
        <v>9.3000000000000007</v>
      </c>
      <c r="K29" s="83">
        <v>0</v>
      </c>
      <c r="L29" s="83">
        <v>0</v>
      </c>
      <c r="M29" s="83">
        <v>0</v>
      </c>
      <c r="N29" s="83">
        <v>0</v>
      </c>
      <c r="O29" s="83">
        <v>0</v>
      </c>
      <c r="P29" s="83">
        <v>0</v>
      </c>
      <c r="Q29" s="83">
        <v>0</v>
      </c>
      <c r="R29" s="83">
        <v>0</v>
      </c>
      <c r="S29" s="83">
        <v>0.4</v>
      </c>
      <c r="T29" s="83">
        <v>1.1000000000000001</v>
      </c>
      <c r="U29" s="83" t="s">
        <v>171</v>
      </c>
      <c r="V29" s="83" t="s">
        <v>172</v>
      </c>
      <c r="W29" s="83">
        <v>0</v>
      </c>
      <c r="X29" s="83">
        <v>0</v>
      </c>
      <c r="Y29" s="83" t="s">
        <v>173</v>
      </c>
      <c r="Z29" s="83">
        <v>1.3</v>
      </c>
      <c r="AA29" s="83">
        <v>1</v>
      </c>
      <c r="AB29" s="83" t="s">
        <v>174</v>
      </c>
      <c r="AC29" s="83" t="s">
        <v>175</v>
      </c>
      <c r="AD29" s="83" t="s">
        <v>176</v>
      </c>
      <c r="AE29" s="83">
        <v>1.8</v>
      </c>
      <c r="AF29" s="83">
        <v>1.8</v>
      </c>
      <c r="AG29" s="83">
        <v>0</v>
      </c>
      <c r="AH29" s="29">
        <v>0</v>
      </c>
      <c r="AI29" s="19">
        <f>IF(COUNTA(D29:AH29)&gt;0,(COUNTA(D29:AH29)-COUNTIF(D29:AH29,"NB")-COUNTIF(D29:AH29,"DN")-COUNTIF(D29:AH29,"An")-COUNTIF(D29:AH29,"NB^")-COUNTIF(D29:AH29,0))/COUNTA(D29:AH29),"")</f>
        <v>0.45161290322580644</v>
      </c>
    </row>
    <row r="30" spans="1:35" ht="15.75" customHeight="1" x14ac:dyDescent="0.25">
      <c r="A30" s="153" t="s">
        <v>33</v>
      </c>
      <c r="B30" s="154"/>
      <c r="C30" s="155"/>
      <c r="D30" s="84" t="s">
        <v>8</v>
      </c>
      <c r="E30" s="84" t="s">
        <v>8</v>
      </c>
      <c r="F30" s="84" t="s">
        <v>8</v>
      </c>
      <c r="G30" s="84" t="s">
        <v>8</v>
      </c>
      <c r="H30" s="84" t="s">
        <v>8</v>
      </c>
      <c r="I30" s="84" t="s">
        <v>8</v>
      </c>
      <c r="J30" s="84" t="s">
        <v>8</v>
      </c>
      <c r="K30" s="84" t="s">
        <v>9</v>
      </c>
      <c r="L30" s="84" t="s">
        <v>9</v>
      </c>
      <c r="M30" s="84" t="s">
        <v>9</v>
      </c>
      <c r="N30" s="84" t="s">
        <v>9</v>
      </c>
      <c r="O30" s="84" t="s">
        <v>9</v>
      </c>
      <c r="P30" s="84" t="s">
        <v>9</v>
      </c>
      <c r="Q30" s="84" t="s">
        <v>9</v>
      </c>
      <c r="R30" s="84" t="s">
        <v>8</v>
      </c>
      <c r="S30" s="84" t="s">
        <v>8</v>
      </c>
      <c r="T30" s="84" t="s">
        <v>8</v>
      </c>
      <c r="U30" s="84" t="s">
        <v>8</v>
      </c>
      <c r="V30" s="84" t="s">
        <v>8</v>
      </c>
      <c r="W30" s="84" t="s">
        <v>9</v>
      </c>
      <c r="X30" s="84" t="s">
        <v>8</v>
      </c>
      <c r="Y30" s="84" t="s">
        <v>8</v>
      </c>
      <c r="Z30" s="84" t="s">
        <v>8</v>
      </c>
      <c r="AA30" s="84" t="s">
        <v>8</v>
      </c>
      <c r="AB30" s="84" t="s">
        <v>8</v>
      </c>
      <c r="AC30" s="84" t="s">
        <v>8</v>
      </c>
      <c r="AD30" s="84" t="s">
        <v>9</v>
      </c>
      <c r="AE30" s="84" t="s">
        <v>9</v>
      </c>
      <c r="AF30" s="84" t="s">
        <v>9</v>
      </c>
      <c r="AG30" s="84" t="s">
        <v>9</v>
      </c>
      <c r="AH30" s="84" t="s">
        <v>22</v>
      </c>
      <c r="AI30" s="19">
        <f>IF(COUNTA(D30:AH30)&gt;0,(COUNTA(D30:AH30)-COUNTIF(D30:AH30,"NB")-COUNTIF(D30:AH30,"DN")-COUNTIF(D30:AH30,"An")-COUNTIF(D30:AH30,"NB^")-COUNTIF(D30:AH30,0))/COUNTA(D30:AH30),"")</f>
        <v>1</v>
      </c>
    </row>
    <row r="31" spans="1:35" ht="15.75" customHeight="1" x14ac:dyDescent="0.25">
      <c r="A31" s="156" t="s">
        <v>34</v>
      </c>
      <c r="B31" s="157"/>
      <c r="C31" s="158"/>
      <c r="D31" s="72" t="s">
        <v>8</v>
      </c>
      <c r="E31" s="72" t="s">
        <v>8</v>
      </c>
      <c r="F31" s="72" t="s">
        <v>8</v>
      </c>
      <c r="G31" s="72" t="s">
        <v>8</v>
      </c>
      <c r="H31" s="72" t="s">
        <v>8</v>
      </c>
      <c r="I31" s="72" t="s">
        <v>8</v>
      </c>
      <c r="J31" s="72" t="s">
        <v>8</v>
      </c>
      <c r="K31" s="72" t="s">
        <v>9</v>
      </c>
      <c r="L31" s="72" t="s">
        <v>9</v>
      </c>
      <c r="M31" s="72" t="s">
        <v>9</v>
      </c>
      <c r="N31" s="72" t="s">
        <v>9</v>
      </c>
      <c r="O31" s="72" t="s">
        <v>9</v>
      </c>
      <c r="P31" s="72" t="s">
        <v>9</v>
      </c>
      <c r="Q31" s="72" t="s">
        <v>9</v>
      </c>
      <c r="R31" s="72" t="s">
        <v>8</v>
      </c>
      <c r="S31" s="72" t="s">
        <v>8</v>
      </c>
      <c r="T31" s="72" t="s">
        <v>8</v>
      </c>
      <c r="U31" s="72" t="s">
        <v>8</v>
      </c>
      <c r="V31" s="72" t="s">
        <v>8</v>
      </c>
      <c r="W31" s="72" t="s">
        <v>9</v>
      </c>
      <c r="X31" s="72" t="s">
        <v>8</v>
      </c>
      <c r="Y31" s="72" t="s">
        <v>8</v>
      </c>
      <c r="Z31" s="72" t="s">
        <v>8</v>
      </c>
      <c r="AA31" s="72" t="s">
        <v>8</v>
      </c>
      <c r="AB31" s="72" t="s">
        <v>8</v>
      </c>
      <c r="AC31" s="72" t="s">
        <v>8</v>
      </c>
      <c r="AD31" s="72" t="s">
        <v>9</v>
      </c>
      <c r="AE31" s="72" t="s">
        <v>9</v>
      </c>
      <c r="AF31" s="72" t="s">
        <v>9</v>
      </c>
      <c r="AG31" s="72" t="s">
        <v>9</v>
      </c>
      <c r="AH31" s="72" t="s">
        <v>22</v>
      </c>
      <c r="AI31" s="13">
        <f>IF(COUNTA(D31:AH31)&gt;0,(COUNTA(D31:AH31)-COUNTIF(D31:AH31,"NB")-COUNTIF(D31:AH31,"DN")-COUNTIF(D31:AH31,"An")-COUNTIF(D31:AH31,"NB^")-COUNTIF(D31:AH31,0))/COUNTA(D31:AH31),"")</f>
        <v>1</v>
      </c>
    </row>
    <row r="32" spans="1:35" ht="15.75" customHeight="1" x14ac:dyDescent="0.25">
      <c r="A32" s="159" t="s">
        <v>35</v>
      </c>
      <c r="B32" s="160"/>
      <c r="C32" s="161"/>
      <c r="D32" s="85" t="s">
        <v>8</v>
      </c>
      <c r="E32" s="85" t="s">
        <v>8</v>
      </c>
      <c r="F32" s="85" t="s">
        <v>8</v>
      </c>
      <c r="G32" s="85" t="s">
        <v>8</v>
      </c>
      <c r="H32" s="85" t="s">
        <v>8</v>
      </c>
      <c r="I32" s="85" t="s">
        <v>8</v>
      </c>
      <c r="J32" s="85" t="s">
        <v>8</v>
      </c>
      <c r="K32" s="85" t="s">
        <v>9</v>
      </c>
      <c r="L32" s="85" t="s">
        <v>9</v>
      </c>
      <c r="M32" s="85" t="s">
        <v>9</v>
      </c>
      <c r="N32" s="85" t="s">
        <v>9</v>
      </c>
      <c r="O32" s="85" t="s">
        <v>9</v>
      </c>
      <c r="P32" s="85" t="s">
        <v>9</v>
      </c>
      <c r="Q32" s="85" t="s">
        <v>9</v>
      </c>
      <c r="R32" s="85" t="s">
        <v>8</v>
      </c>
      <c r="S32" s="85" t="s">
        <v>8</v>
      </c>
      <c r="T32" s="85" t="s">
        <v>8</v>
      </c>
      <c r="U32" s="85" t="s">
        <v>8</v>
      </c>
      <c r="V32" s="85" t="s">
        <v>8</v>
      </c>
      <c r="W32" s="85" t="s">
        <v>9</v>
      </c>
      <c r="X32" s="85" t="s">
        <v>8</v>
      </c>
      <c r="Y32" s="85" t="s">
        <v>8</v>
      </c>
      <c r="Z32" s="85" t="s">
        <v>8</v>
      </c>
      <c r="AA32" s="85" t="s">
        <v>8</v>
      </c>
      <c r="AB32" s="85" t="s">
        <v>8</v>
      </c>
      <c r="AC32" s="85" t="s">
        <v>8</v>
      </c>
      <c r="AD32" s="85" t="s">
        <v>9</v>
      </c>
      <c r="AE32" s="85" t="s">
        <v>9</v>
      </c>
      <c r="AF32" s="85" t="s">
        <v>9</v>
      </c>
      <c r="AG32" s="85" t="s">
        <v>9</v>
      </c>
      <c r="AH32" s="85" t="s">
        <v>22</v>
      </c>
      <c r="AI32" s="17">
        <f t="shared" si="0"/>
        <v>1</v>
      </c>
    </row>
    <row r="33" spans="1:44" ht="15.75" customHeight="1" x14ac:dyDescent="0.25">
      <c r="A33" s="162" t="s">
        <v>36</v>
      </c>
      <c r="B33" s="163"/>
      <c r="C33" s="164"/>
      <c r="D33" s="25" t="s">
        <v>11</v>
      </c>
      <c r="E33" s="25" t="s">
        <v>11</v>
      </c>
      <c r="F33" s="25" t="s">
        <v>11</v>
      </c>
      <c r="G33" s="25" t="s">
        <v>11</v>
      </c>
      <c r="H33" s="25" t="s">
        <v>11</v>
      </c>
      <c r="I33" s="25" t="s">
        <v>11</v>
      </c>
      <c r="J33" s="25" t="s">
        <v>11</v>
      </c>
      <c r="K33" s="25" t="s">
        <v>11</v>
      </c>
      <c r="L33" s="25" t="s">
        <v>11</v>
      </c>
      <c r="M33" s="25" t="s">
        <v>11</v>
      </c>
      <c r="N33" s="25" t="s">
        <v>11</v>
      </c>
      <c r="O33" s="25" t="s">
        <v>11</v>
      </c>
      <c r="P33" s="25" t="s">
        <v>11</v>
      </c>
      <c r="Q33" s="25" t="s">
        <v>11</v>
      </c>
      <c r="R33" s="25" t="s">
        <v>11</v>
      </c>
      <c r="S33" s="25" t="s">
        <v>11</v>
      </c>
      <c r="T33" s="25" t="s">
        <v>11</v>
      </c>
      <c r="U33" s="25" t="s">
        <v>11</v>
      </c>
      <c r="V33" s="25" t="s">
        <v>11</v>
      </c>
      <c r="W33" s="25" t="s">
        <v>11</v>
      </c>
      <c r="X33" s="25" t="s">
        <v>11</v>
      </c>
      <c r="Y33" s="25" t="s">
        <v>11</v>
      </c>
      <c r="Z33" s="25" t="s">
        <v>11</v>
      </c>
      <c r="AA33" s="24" t="s">
        <v>11</v>
      </c>
      <c r="AB33" s="24" t="s">
        <v>11</v>
      </c>
      <c r="AC33" s="24" t="s">
        <v>11</v>
      </c>
      <c r="AD33" s="24" t="s">
        <v>11</v>
      </c>
      <c r="AE33" s="24" t="s">
        <v>11</v>
      </c>
      <c r="AF33" s="24" t="s">
        <v>11</v>
      </c>
      <c r="AG33" s="24" t="s">
        <v>11</v>
      </c>
      <c r="AH33" s="25" t="s">
        <v>22</v>
      </c>
      <c r="AI33" s="19">
        <f t="shared" si="0"/>
        <v>1</v>
      </c>
    </row>
    <row r="34" spans="1:44" ht="15.75" customHeight="1" x14ac:dyDescent="0.25">
      <c r="A34" s="162" t="s">
        <v>95</v>
      </c>
      <c r="B34" s="163"/>
      <c r="C34" s="164"/>
      <c r="D34" s="24" t="s">
        <v>11</v>
      </c>
      <c r="E34" s="24" t="s">
        <v>11</v>
      </c>
      <c r="F34" s="24" t="s">
        <v>11</v>
      </c>
      <c r="G34" s="24" t="s">
        <v>11</v>
      </c>
      <c r="H34" s="24" t="s">
        <v>11</v>
      </c>
      <c r="I34" s="24" t="s">
        <v>11</v>
      </c>
      <c r="J34" s="24" t="s">
        <v>11</v>
      </c>
      <c r="K34" s="24" t="s">
        <v>11</v>
      </c>
      <c r="L34" s="24" t="s">
        <v>11</v>
      </c>
      <c r="M34" s="24" t="s">
        <v>11</v>
      </c>
      <c r="N34" s="24" t="s">
        <v>11</v>
      </c>
      <c r="O34" s="24" t="s">
        <v>11</v>
      </c>
      <c r="P34" s="24" t="s">
        <v>11</v>
      </c>
      <c r="Q34" s="24" t="s">
        <v>11</v>
      </c>
      <c r="R34" s="24" t="s">
        <v>11</v>
      </c>
      <c r="S34" s="24" t="s">
        <v>11</v>
      </c>
      <c r="T34" s="24" t="s">
        <v>11</v>
      </c>
      <c r="U34" s="24" t="s">
        <v>11</v>
      </c>
      <c r="V34" s="24" t="s">
        <v>11</v>
      </c>
      <c r="W34" s="24" t="s">
        <v>22</v>
      </c>
      <c r="X34" s="24" t="s">
        <v>11</v>
      </c>
      <c r="Y34" s="24" t="s">
        <v>11</v>
      </c>
      <c r="Z34" s="24" t="s">
        <v>11</v>
      </c>
      <c r="AA34" s="24" t="s">
        <v>11</v>
      </c>
      <c r="AB34" s="24" t="s">
        <v>11</v>
      </c>
      <c r="AC34" s="24" t="s">
        <v>11</v>
      </c>
      <c r="AD34" s="24" t="s">
        <v>11</v>
      </c>
      <c r="AE34" s="24" t="s">
        <v>11</v>
      </c>
      <c r="AF34" s="24" t="s">
        <v>11</v>
      </c>
      <c r="AG34" s="24" t="s">
        <v>11</v>
      </c>
      <c r="AH34" s="25" t="s">
        <v>22</v>
      </c>
      <c r="AI34" s="19">
        <f t="shared" si="0"/>
        <v>1</v>
      </c>
    </row>
    <row r="35" spans="1:44" ht="15.75" customHeight="1" thickBot="1" x14ac:dyDescent="0.3">
      <c r="A35" s="165" t="s">
        <v>96</v>
      </c>
      <c r="B35" s="166"/>
      <c r="C35" s="167"/>
      <c r="D35" s="96" t="s">
        <v>11</v>
      </c>
      <c r="E35" s="96" t="s">
        <v>11</v>
      </c>
      <c r="F35" s="96" t="s">
        <v>11</v>
      </c>
      <c r="G35" s="96" t="s">
        <v>11</v>
      </c>
      <c r="H35" s="96" t="s">
        <v>11</v>
      </c>
      <c r="I35" s="96" t="s">
        <v>11</v>
      </c>
      <c r="J35" s="96" t="s">
        <v>11</v>
      </c>
      <c r="K35" s="96" t="s">
        <v>11</v>
      </c>
      <c r="L35" s="96" t="s">
        <v>11</v>
      </c>
      <c r="M35" s="96" t="s">
        <v>11</v>
      </c>
      <c r="N35" s="96" t="s">
        <v>11</v>
      </c>
      <c r="O35" s="96" t="s">
        <v>11</v>
      </c>
      <c r="P35" s="96" t="s">
        <v>11</v>
      </c>
      <c r="Q35" s="96" t="s">
        <v>11</v>
      </c>
      <c r="R35" s="96" t="s">
        <v>11</v>
      </c>
      <c r="S35" s="96" t="s">
        <v>11</v>
      </c>
      <c r="T35" s="96" t="s">
        <v>11</v>
      </c>
      <c r="U35" s="96" t="s">
        <v>11</v>
      </c>
      <c r="V35" s="96" t="s">
        <v>11</v>
      </c>
      <c r="W35" s="96" t="s">
        <v>22</v>
      </c>
      <c r="X35" s="96" t="s">
        <v>11</v>
      </c>
      <c r="Y35" s="96" t="s">
        <v>11</v>
      </c>
      <c r="Z35" s="96" t="s">
        <v>11</v>
      </c>
      <c r="AA35" s="96" t="s">
        <v>11</v>
      </c>
      <c r="AB35" s="96" t="s">
        <v>11</v>
      </c>
      <c r="AC35" s="96" t="s">
        <v>11</v>
      </c>
      <c r="AD35" s="96" t="s">
        <v>11</v>
      </c>
      <c r="AE35" s="96" t="s">
        <v>11</v>
      </c>
      <c r="AF35" s="96" t="s">
        <v>11</v>
      </c>
      <c r="AG35" s="96" t="s">
        <v>11</v>
      </c>
      <c r="AH35" s="97" t="s">
        <v>22</v>
      </c>
      <c r="AI35" s="98">
        <f>IF(COUNTA(D35:AH35)&gt;0,(COUNTA(D35:AH35)-COUNTIF(D35:AH35,"NB")-COUNTIF(D35:AH35,"DN")-COUNTIF(D35:AH35,"An")-COUNTIF(D35:AH35,"NB^")-COUNTIF(D35:AH35,0))/COUNTA(D35:AH35),"")</f>
        <v>1</v>
      </c>
    </row>
    <row r="36" spans="1:44" s="32" customFormat="1" ht="15.75" customHeight="1" x14ac:dyDescent="0.25">
      <c r="A36" s="150" t="s">
        <v>37</v>
      </c>
      <c r="B36" s="151"/>
      <c r="C36" s="152"/>
      <c r="D36" s="76"/>
      <c r="E36" s="76"/>
      <c r="F36" s="76"/>
      <c r="G36" s="76"/>
      <c r="H36" s="76"/>
      <c r="I36" s="76"/>
      <c r="J36" s="76"/>
      <c r="K36" s="31"/>
      <c r="L36" s="76"/>
      <c r="M36" s="76"/>
      <c r="N36" s="76"/>
      <c r="O36" s="76"/>
      <c r="P36" s="76"/>
      <c r="Q36" s="76"/>
      <c r="R36" s="77"/>
      <c r="S36" s="76"/>
      <c r="T36" s="76"/>
      <c r="U36" s="76"/>
      <c r="V36" s="99"/>
      <c r="W36" s="99"/>
      <c r="X36" s="76"/>
      <c r="Y36" s="76"/>
      <c r="Z36" s="76"/>
      <c r="AA36" s="76"/>
      <c r="AB36" s="76"/>
      <c r="AC36" s="76"/>
      <c r="AD36" s="76"/>
      <c r="AE36" s="76"/>
      <c r="AF36" s="31" t="s">
        <v>100</v>
      </c>
      <c r="AG36" s="76"/>
      <c r="AH36" s="78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68" t="s">
        <v>38</v>
      </c>
      <c r="B37" s="169"/>
      <c r="C37" s="170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100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9"/>
      <c r="AI37" s="35"/>
    </row>
    <row r="38" spans="1:44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>AB</v>
      </c>
      <c r="E38" s="37" t="str">
        <f>IF(AND(E5&gt;0,COUNTA(E6:E37)&gt;0,COUNTA(E6:E37)-COUNTIF(E6:E37,"NB")-COUNTIF(E30:E31, "0")=COUNTA(E6:E37)),"AB","")</f>
        <v/>
      </c>
      <c r="F38" s="37" t="str">
        <f>IF(AND(F5&gt;0,COUNTA(F6:F37)&gt;0,COUNTA(F6:F37)-COUNTIF(F6:F37,"NB")-COUNTIF(F30:F31, "0")=COUNTA(F6:F37)),"AB","")</f>
        <v/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/>
      </c>
      <c r="J38" s="37" t="str">
        <f t="shared" ref="J38:AH38" si="1">IF(AND(J5&gt;0,COUNTA(J6:J37)&gt;0,COUNTA(J6:J37)-COUNTIF(J6:J37,"NB")-COUNTIF(J30:J31, "0")=COUNTA(J6:J37)),"AB","")</f>
        <v>AB</v>
      </c>
      <c r="K38" s="37" t="str">
        <f t="shared" si="1"/>
        <v/>
      </c>
      <c r="L38" s="37" t="str">
        <f t="shared" si="1"/>
        <v/>
      </c>
      <c r="M38" s="37" t="str">
        <f t="shared" si="1"/>
        <v/>
      </c>
      <c r="N38" s="37" t="str">
        <f t="shared" si="1"/>
        <v/>
      </c>
      <c r="O38" s="37" t="str">
        <f t="shared" si="1"/>
        <v>AB</v>
      </c>
      <c r="P38" s="37" t="str">
        <f>IF(AND(P5&gt;0,COUNTA(P6:P37)&gt;0,COUNTA(P6:P37)-COUNTIF(P6:P37,"NB")-COUNTIF(P30:P31, "0")=COUNTA(P6:P37)),"AB","")</f>
        <v>AB</v>
      </c>
      <c r="Q38" s="37" t="str">
        <f>IF(AND(Q5&gt;0,COUNTA(Q6:Q37)&gt;0,COUNTA(Q6:Q37)-COUNTIF(Q6:Q37,"NB")-COUNTIF(Q30:Q31, "0")=COUNTA(Q6:Q37)),"AB","")</f>
        <v>AB</v>
      </c>
      <c r="R38" s="37" t="str">
        <f t="shared" si="1"/>
        <v>AB</v>
      </c>
      <c r="S38" s="37" t="str">
        <f t="shared" si="1"/>
        <v>AB</v>
      </c>
      <c r="T38" s="37" t="str">
        <f t="shared" si="1"/>
        <v>AB</v>
      </c>
      <c r="U38" s="37" t="str">
        <f t="shared" si="1"/>
        <v>AB</v>
      </c>
      <c r="V38" s="37" t="str">
        <f t="shared" si="1"/>
        <v>AB</v>
      </c>
      <c r="W38" s="37" t="str">
        <f t="shared" si="1"/>
        <v>AB</v>
      </c>
      <c r="X38" s="37" t="str">
        <f t="shared" si="1"/>
        <v>AB</v>
      </c>
      <c r="Y38" s="37" t="str">
        <f t="shared" si="1"/>
        <v>AB</v>
      </c>
      <c r="Z38" s="37" t="str">
        <f t="shared" si="1"/>
        <v>AB</v>
      </c>
      <c r="AA38" s="37" t="str">
        <f t="shared" si="1"/>
        <v>AB</v>
      </c>
      <c r="AB38" s="37" t="str">
        <f t="shared" si="1"/>
        <v>AB</v>
      </c>
      <c r="AC38" s="37" t="str">
        <f t="shared" si="1"/>
        <v>AB</v>
      </c>
      <c r="AD38" s="37" t="str">
        <f t="shared" si="1"/>
        <v>AB</v>
      </c>
      <c r="AE38" s="37" t="str">
        <f t="shared" si="1"/>
        <v>AB</v>
      </c>
      <c r="AF38" s="37" t="str">
        <f t="shared" si="1"/>
        <v>AB</v>
      </c>
      <c r="AG38" s="37" t="str">
        <f t="shared" si="1"/>
        <v/>
      </c>
      <c r="AH38" s="37" t="str">
        <f t="shared" si="1"/>
        <v/>
      </c>
      <c r="AI38" s="35"/>
    </row>
    <row r="39" spans="1:44" ht="15.75" hidden="1" customHeight="1" x14ac:dyDescent="0.25">
      <c r="D39" s="38" t="str">
        <f>IF(AND(D5:D5&gt;0,COUNTA(D6:D34),COUNTIF(D6:D34,"NB")+COUNTIF(D6:D34,0)=COUNTA(D6:D34)),"ANB","")</f>
        <v/>
      </c>
      <c r="E39" s="38" t="str">
        <f>IF(AND(E5:E5&gt;0,COUNTA(E6:E34),COUNTIF(E6:E34,"NB")+COUNTIF(E6:E34,0)=COUNTA(E6:E34)),"ANB","")</f>
        <v/>
      </c>
      <c r="F39" s="38" t="str">
        <f>IF(AND(F5:F5&gt;0,COUNTA(F6:F34),COUNTIF(F6:F34,"NB")+COUNTIF(F6:F34,0)=COUNTA(F6:F34)),"ANB","")</f>
        <v/>
      </c>
      <c r="G39" s="38" t="str">
        <f>IF(AND(G5:G5&gt;0,COUNTA(G6:G34),COUNTIF(G6:G34,"NB")+COUNTIF(G6:G34,0)=COUNTA(G6:G34)),"ANB","")</f>
        <v/>
      </c>
      <c r="H39" s="38" t="str">
        <f>IF(AND(H5:H5&gt;0,COUNTA(H6:H34),COUNTIF(H6:H34,"NB")+COUNTIF(H6:H34,0)=COUNTA(H6:H34)),"ANB","")</f>
        <v/>
      </c>
      <c r="I39" s="38" t="str">
        <f>IF(AND(I5:I5&gt;0,COUNTA(I6:I31),COUNTIF(I6:I31,"NB")+COUNTIF(I6:I31,0)=COUNTA(I6:I31)),"ANB","")</f>
        <v/>
      </c>
      <c r="J39" s="38" t="str">
        <f t="shared" ref="J39:AH39" si="2">IF(AND(J5:J5&gt;0,COUNTA(J6:J34),COUNTIF(J6:J34,"NB")+COUNTIF(J6:J34,0)=COUNTA(J6:J34)),"ANB","")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>IF(AND(Q5:Q5&gt;0,COUNTA(Q6:Q34),COUNTIF(Q6:Q34,"NB")+COUNTIF(Q6:Q34,0)=COUNTA(Q6:Q34)),"ANB","")</f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str">
        <f t="shared" si="2"/>
        <v/>
      </c>
    </row>
    <row r="40" spans="1:44" ht="15.75" customHeight="1" thickBot="1" x14ac:dyDescent="0.3">
      <c r="D40" s="39"/>
      <c r="F40" s="104"/>
    </row>
    <row r="41" spans="1:44" ht="15.75" customHeight="1" thickBot="1" x14ac:dyDescent="0.3">
      <c r="A41" s="147" t="s">
        <v>39</v>
      </c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9"/>
    </row>
    <row r="42" spans="1:44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  <c r="AH49" s="59"/>
    </row>
    <row r="50" spans="1:35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COUNTA(D5:AH5)</f>
        <v>31</v>
      </c>
      <c r="AH50" s="59"/>
      <c r="AI50"/>
    </row>
    <row r="51" spans="1:35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COUNTIF(D38:AH38,"AB")</f>
        <v>20</v>
      </c>
      <c r="AH51" s="59"/>
      <c r="AI51"/>
    </row>
    <row r="52" spans="1:35" ht="15.75" customHeight="1" x14ac:dyDescent="0.25">
      <c r="A52" s="54" t="s">
        <v>82</v>
      </c>
      <c r="B52" t="s">
        <v>83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11</v>
      </c>
      <c r="AH52" s="59"/>
      <c r="AI52"/>
    </row>
    <row r="53" spans="1:35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41:AH41"/>
    <mergeCell ref="A30:C30"/>
    <mergeCell ref="A31:C31"/>
    <mergeCell ref="A32:C32"/>
    <mergeCell ref="A33:C33"/>
    <mergeCell ref="A34:C34"/>
    <mergeCell ref="A36:C36"/>
    <mergeCell ref="A35:C35"/>
    <mergeCell ref="A26:C26"/>
    <mergeCell ref="A27:C27"/>
    <mergeCell ref="A28:C28"/>
    <mergeCell ref="A29:C29"/>
    <mergeCell ref="A37:C37"/>
    <mergeCell ref="A21:C21"/>
    <mergeCell ref="A22:C22"/>
    <mergeCell ref="A23:C23"/>
    <mergeCell ref="A24:C24"/>
    <mergeCell ref="A25:C25"/>
    <mergeCell ref="A16:C16"/>
    <mergeCell ref="A17:C17"/>
    <mergeCell ref="A18:C18"/>
    <mergeCell ref="A19:C19"/>
    <mergeCell ref="A20:C20"/>
    <mergeCell ref="A11:C11"/>
    <mergeCell ref="A12:C12"/>
    <mergeCell ref="A13:C13"/>
    <mergeCell ref="A14:C14"/>
    <mergeCell ref="A15:C15"/>
    <mergeCell ref="A6:C6"/>
    <mergeCell ref="A7:C7"/>
    <mergeCell ref="A8:C8"/>
    <mergeCell ref="A9:C9"/>
    <mergeCell ref="A10:C10"/>
  </mergeCells>
  <conditionalFormatting sqref="S6:S7 L27:L28 S9:S21 S27:S35 AH6:AH7 AA27:AA35 AH27:AH35 AH15:AH22">
    <cfRule type="containsText" dxfId="1354" priority="331" operator="containsText" text="NB">
      <formula>NOT(ISERROR(SEARCH("NB",L6)))</formula>
    </cfRule>
    <cfRule type="containsText" dxfId="1353" priority="332" operator="containsText" text="M">
      <formula>NOT(ISERROR(SEARCH("M",L6)))</formula>
    </cfRule>
    <cfRule type="containsText" dxfId="1352" priority="333" operator="containsText" text="B">
      <formula>NOT(ISERROR(SEARCH("B",L6)))</formula>
    </cfRule>
  </conditionalFormatting>
  <conditionalFormatting sqref="K8:L8 S8 AH8">
    <cfRule type="cellIs" dxfId="1351" priority="324" stopIfTrue="1" operator="equal">
      <formula>"B"</formula>
    </cfRule>
    <cfRule type="cellIs" dxfId="1350" priority="325" stopIfTrue="1" operator="equal">
      <formula>"M"</formula>
    </cfRule>
    <cfRule type="cellIs" dxfId="1349" priority="326" stopIfTrue="1" operator="between">
      <formula>"NB"</formula>
      <formula>"NB^"</formula>
    </cfRule>
  </conditionalFormatting>
  <conditionalFormatting sqref="K29:L29 S29 AA29 AH29">
    <cfRule type="cellIs" dxfId="1348" priority="320" stopIfTrue="1" operator="equal">
      <formula>0</formula>
    </cfRule>
  </conditionalFormatting>
  <conditionalFormatting sqref="E9:E14">
    <cfRule type="cellIs" dxfId="1347" priority="314" stopIfTrue="1" operator="equal">
      <formula>"B"</formula>
    </cfRule>
    <cfRule type="cellIs" dxfId="1346" priority="315" stopIfTrue="1" operator="equal">
      <formula>"M"</formula>
    </cfRule>
    <cfRule type="cellIs" dxfId="1345" priority="316" stopIfTrue="1" operator="between">
      <formula>"NB"</formula>
      <formula>"NB^"</formula>
    </cfRule>
  </conditionalFormatting>
  <conditionalFormatting sqref="K27:K35 L30:L35 K6:L7">
    <cfRule type="containsText" dxfId="1344" priority="287" operator="containsText" text="NB">
      <formula>NOT(ISERROR(SEARCH("NB",K6)))</formula>
    </cfRule>
    <cfRule type="containsText" dxfId="1343" priority="288" operator="containsText" text="M">
      <formula>NOT(ISERROR(SEARCH("M",K6)))</formula>
    </cfRule>
    <cfRule type="containsText" dxfId="1342" priority="289" operator="containsText" text="B">
      <formula>NOT(ISERROR(SEARCH("B",K6)))</formula>
    </cfRule>
  </conditionalFormatting>
  <conditionalFormatting sqref="L29">
    <cfRule type="cellIs" dxfId="1341" priority="277" stopIfTrue="1" operator="equal">
      <formula>0</formula>
    </cfRule>
  </conditionalFormatting>
  <conditionalFormatting sqref="D25:E26 D22:E22">
    <cfRule type="cellIs" dxfId="1340" priority="273" stopIfTrue="1" operator="equal">
      <formula>"B"</formula>
    </cfRule>
    <cfRule type="cellIs" dxfId="1339" priority="274" stopIfTrue="1" operator="equal">
      <formula>"M"</formula>
    </cfRule>
    <cfRule type="cellIs" dxfId="1338" priority="275" stopIfTrue="1" operator="between">
      <formula>"NB"</formula>
      <formula>"NB^"</formula>
    </cfRule>
  </conditionalFormatting>
  <conditionalFormatting sqref="D30:E32 D34:E35 D27:E27">
    <cfRule type="cellIs" dxfId="1337" priority="269" stopIfTrue="1" operator="equal">
      <formula>"B"</formula>
    </cfRule>
    <cfRule type="cellIs" dxfId="1336" priority="270" stopIfTrue="1" operator="equal">
      <formula>"M"</formula>
    </cfRule>
    <cfRule type="cellIs" dxfId="1335" priority="271" stopIfTrue="1" operator="between">
      <formula>"NB"</formula>
      <formula>"NB^"</formula>
    </cfRule>
  </conditionalFormatting>
  <conditionalFormatting sqref="D28:E29">
    <cfRule type="cellIs" dxfId="1334" priority="272" stopIfTrue="1" operator="equal">
      <formula>0</formula>
    </cfRule>
  </conditionalFormatting>
  <conditionalFormatting sqref="D6:E8 D18:E21 D33:E33">
    <cfRule type="cellIs" dxfId="1333" priority="266" stopIfTrue="1" operator="equal">
      <formula>"B"</formula>
    </cfRule>
    <cfRule type="cellIs" dxfId="1332" priority="267" stopIfTrue="1" operator="equal">
      <formula>"M"</formula>
    </cfRule>
    <cfRule type="cellIs" dxfId="1331" priority="268" stopIfTrue="1" operator="between">
      <formula>"NB"</formula>
      <formula>"NB^"</formula>
    </cfRule>
  </conditionalFormatting>
  <conditionalFormatting sqref="D15:E17">
    <cfRule type="cellIs" dxfId="1330" priority="263" stopIfTrue="1" operator="equal">
      <formula>"B"</formula>
    </cfRule>
    <cfRule type="cellIs" dxfId="1329" priority="264" stopIfTrue="1" operator="equal">
      <formula>"M"</formula>
    </cfRule>
    <cfRule type="cellIs" dxfId="1328" priority="265" stopIfTrue="1" operator="between">
      <formula>"NB"</formula>
      <formula>"NB^"</formula>
    </cfRule>
  </conditionalFormatting>
  <conditionalFormatting sqref="D23:E24">
    <cfRule type="cellIs" dxfId="1327" priority="260" stopIfTrue="1" operator="equal">
      <formula>"B"</formula>
    </cfRule>
    <cfRule type="cellIs" dxfId="1326" priority="261" stopIfTrue="1" operator="equal">
      <formula>"M"</formula>
    </cfRule>
    <cfRule type="cellIs" dxfId="1325" priority="262" stopIfTrue="1" operator="between">
      <formula>"NB"</formula>
      <formula>"NB^"</formula>
    </cfRule>
  </conditionalFormatting>
  <conditionalFormatting sqref="D9:D14">
    <cfRule type="cellIs" dxfId="1324" priority="257" stopIfTrue="1" operator="equal">
      <formula>"B"</formula>
    </cfRule>
    <cfRule type="cellIs" dxfId="1323" priority="258" stopIfTrue="1" operator="equal">
      <formula>"M"</formula>
    </cfRule>
    <cfRule type="cellIs" dxfId="1322" priority="259" stopIfTrue="1" operator="between">
      <formula>"NB"</formula>
      <formula>"NB^"</formula>
    </cfRule>
  </conditionalFormatting>
  <conditionalFormatting sqref="F9:F14">
    <cfRule type="cellIs" dxfId="1321" priority="254" stopIfTrue="1" operator="equal">
      <formula>"B"</formula>
    </cfRule>
    <cfRule type="cellIs" dxfId="1320" priority="255" stopIfTrue="1" operator="equal">
      <formula>"M"</formula>
    </cfRule>
    <cfRule type="cellIs" dxfId="1319" priority="256" stopIfTrue="1" operator="between">
      <formula>"NB"</formula>
      <formula>"NB^"</formula>
    </cfRule>
  </conditionalFormatting>
  <conditionalFormatting sqref="F25:F26 F22">
    <cfRule type="cellIs" dxfId="1318" priority="251" stopIfTrue="1" operator="equal">
      <formula>"B"</formula>
    </cfRule>
    <cfRule type="cellIs" dxfId="1317" priority="252" stopIfTrue="1" operator="equal">
      <formula>"M"</formula>
    </cfRule>
    <cfRule type="cellIs" dxfId="1316" priority="253" stopIfTrue="1" operator="between">
      <formula>"NB"</formula>
      <formula>"NB^"</formula>
    </cfRule>
  </conditionalFormatting>
  <conditionalFormatting sqref="F30:F32 F34:F35 F27">
    <cfRule type="cellIs" dxfId="1315" priority="247" stopIfTrue="1" operator="equal">
      <formula>"B"</formula>
    </cfRule>
    <cfRule type="cellIs" dxfId="1314" priority="248" stopIfTrue="1" operator="equal">
      <formula>"M"</formula>
    </cfRule>
    <cfRule type="cellIs" dxfId="1313" priority="249" stopIfTrue="1" operator="between">
      <formula>"NB"</formula>
      <formula>"NB^"</formula>
    </cfRule>
  </conditionalFormatting>
  <conditionalFormatting sqref="F28:F29">
    <cfRule type="cellIs" dxfId="1312" priority="250" stopIfTrue="1" operator="equal">
      <formula>0</formula>
    </cfRule>
  </conditionalFormatting>
  <conditionalFormatting sqref="F6:F8 F18:F21 F33">
    <cfRule type="cellIs" dxfId="1311" priority="244" stopIfTrue="1" operator="equal">
      <formula>"B"</formula>
    </cfRule>
    <cfRule type="cellIs" dxfId="1310" priority="245" stopIfTrue="1" operator="equal">
      <formula>"M"</formula>
    </cfRule>
    <cfRule type="cellIs" dxfId="1309" priority="246" stopIfTrue="1" operator="between">
      <formula>"NB"</formula>
      <formula>"NB^"</formula>
    </cfRule>
  </conditionalFormatting>
  <conditionalFormatting sqref="F15:F17">
    <cfRule type="cellIs" dxfId="1308" priority="241" stopIfTrue="1" operator="equal">
      <formula>"B"</formula>
    </cfRule>
    <cfRule type="cellIs" dxfId="1307" priority="242" stopIfTrue="1" operator="equal">
      <formula>"M"</formula>
    </cfRule>
    <cfRule type="cellIs" dxfId="1306" priority="243" stopIfTrue="1" operator="between">
      <formula>"NB"</formula>
      <formula>"NB^"</formula>
    </cfRule>
  </conditionalFormatting>
  <conditionalFormatting sqref="F23:F24">
    <cfRule type="cellIs" dxfId="1305" priority="238" stopIfTrue="1" operator="equal">
      <formula>"B"</formula>
    </cfRule>
    <cfRule type="cellIs" dxfId="1304" priority="239" stopIfTrue="1" operator="equal">
      <formula>"M"</formula>
    </cfRule>
    <cfRule type="cellIs" dxfId="1303" priority="240" stopIfTrue="1" operator="between">
      <formula>"NB"</formula>
      <formula>"NB^"</formula>
    </cfRule>
  </conditionalFormatting>
  <conditionalFormatting sqref="G9:G14">
    <cfRule type="cellIs" dxfId="1302" priority="235" stopIfTrue="1" operator="equal">
      <formula>"B"</formula>
    </cfRule>
    <cfRule type="cellIs" dxfId="1301" priority="236" stopIfTrue="1" operator="equal">
      <formula>"M"</formula>
    </cfRule>
    <cfRule type="cellIs" dxfId="1300" priority="237" stopIfTrue="1" operator="between">
      <formula>"NB"</formula>
      <formula>"NB^"</formula>
    </cfRule>
  </conditionalFormatting>
  <conditionalFormatting sqref="G25:G26 G22">
    <cfRule type="cellIs" dxfId="1299" priority="232" stopIfTrue="1" operator="equal">
      <formula>"B"</formula>
    </cfRule>
    <cfRule type="cellIs" dxfId="1298" priority="233" stopIfTrue="1" operator="equal">
      <formula>"M"</formula>
    </cfRule>
    <cfRule type="cellIs" dxfId="1297" priority="234" stopIfTrue="1" operator="between">
      <formula>"NB"</formula>
      <formula>"NB^"</formula>
    </cfRule>
  </conditionalFormatting>
  <conditionalFormatting sqref="G30:G32 G34:G35 G27">
    <cfRule type="cellIs" dxfId="1296" priority="228" stopIfTrue="1" operator="equal">
      <formula>"B"</formula>
    </cfRule>
    <cfRule type="cellIs" dxfId="1295" priority="229" stopIfTrue="1" operator="equal">
      <formula>"M"</formula>
    </cfRule>
    <cfRule type="cellIs" dxfId="1294" priority="230" stopIfTrue="1" operator="between">
      <formula>"NB"</formula>
      <formula>"NB^"</formula>
    </cfRule>
  </conditionalFormatting>
  <conditionalFormatting sqref="G28:G29">
    <cfRule type="cellIs" dxfId="1293" priority="231" stopIfTrue="1" operator="equal">
      <formula>0</formula>
    </cfRule>
  </conditionalFormatting>
  <conditionalFormatting sqref="G6:G8 G18:G21 G33">
    <cfRule type="cellIs" dxfId="1292" priority="225" stopIfTrue="1" operator="equal">
      <formula>"B"</formula>
    </cfRule>
    <cfRule type="cellIs" dxfId="1291" priority="226" stopIfTrue="1" operator="equal">
      <formula>"M"</formula>
    </cfRule>
    <cfRule type="cellIs" dxfId="1290" priority="227" stopIfTrue="1" operator="between">
      <formula>"NB"</formula>
      <formula>"NB^"</formula>
    </cfRule>
  </conditionalFormatting>
  <conditionalFormatting sqref="G15:G17">
    <cfRule type="cellIs" dxfId="1289" priority="222" stopIfTrue="1" operator="equal">
      <formula>"B"</formula>
    </cfRule>
    <cfRule type="cellIs" dxfId="1288" priority="223" stopIfTrue="1" operator="equal">
      <formula>"M"</formula>
    </cfRule>
    <cfRule type="cellIs" dxfId="1287" priority="224" stopIfTrue="1" operator="between">
      <formula>"NB"</formula>
      <formula>"NB^"</formula>
    </cfRule>
  </conditionalFormatting>
  <conditionalFormatting sqref="G23:G24">
    <cfRule type="cellIs" dxfId="1286" priority="219" stopIfTrue="1" operator="equal">
      <formula>"B"</formula>
    </cfRule>
    <cfRule type="cellIs" dxfId="1285" priority="220" stopIfTrue="1" operator="equal">
      <formula>"M"</formula>
    </cfRule>
    <cfRule type="cellIs" dxfId="1284" priority="221" stopIfTrue="1" operator="between">
      <formula>"NB"</formula>
      <formula>"NB^"</formula>
    </cfRule>
  </conditionalFormatting>
  <conditionalFormatting sqref="H9:J14">
    <cfRule type="cellIs" dxfId="1283" priority="216" stopIfTrue="1" operator="equal">
      <formula>"B"</formula>
    </cfRule>
    <cfRule type="cellIs" dxfId="1282" priority="217" stopIfTrue="1" operator="equal">
      <formula>"M"</formula>
    </cfRule>
    <cfRule type="cellIs" dxfId="1281" priority="218" stopIfTrue="1" operator="between">
      <formula>"NB"</formula>
      <formula>"NB^"</formula>
    </cfRule>
  </conditionalFormatting>
  <conditionalFormatting sqref="H25:L26 H22:L22">
    <cfRule type="cellIs" dxfId="1280" priority="213" stopIfTrue="1" operator="equal">
      <formula>"B"</formula>
    </cfRule>
    <cfRule type="cellIs" dxfId="1279" priority="214" stopIfTrue="1" operator="equal">
      <formula>"M"</formula>
    </cfRule>
    <cfRule type="cellIs" dxfId="1278" priority="215" stopIfTrue="1" operator="between">
      <formula>"NB"</formula>
      <formula>"NB^"</formula>
    </cfRule>
  </conditionalFormatting>
  <conditionalFormatting sqref="H30:J32 H34:J35 H27:J27">
    <cfRule type="cellIs" dxfId="1277" priority="209" stopIfTrue="1" operator="equal">
      <formula>"B"</formula>
    </cfRule>
    <cfRule type="cellIs" dxfId="1276" priority="210" stopIfTrue="1" operator="equal">
      <formula>"M"</formula>
    </cfRule>
    <cfRule type="cellIs" dxfId="1275" priority="211" stopIfTrue="1" operator="between">
      <formula>"NB"</formula>
      <formula>"NB^"</formula>
    </cfRule>
  </conditionalFormatting>
  <conditionalFormatting sqref="H28:J29">
    <cfRule type="cellIs" dxfId="1274" priority="212" stopIfTrue="1" operator="equal">
      <formula>0</formula>
    </cfRule>
  </conditionalFormatting>
  <conditionalFormatting sqref="H6:J8 H33:J33 H18:L21">
    <cfRule type="cellIs" dxfId="1273" priority="206" stopIfTrue="1" operator="equal">
      <formula>"B"</formula>
    </cfRule>
    <cfRule type="cellIs" dxfId="1272" priority="207" stopIfTrue="1" operator="equal">
      <formula>"M"</formula>
    </cfRule>
    <cfRule type="cellIs" dxfId="1271" priority="208" stopIfTrue="1" operator="between">
      <formula>"NB"</formula>
      <formula>"NB^"</formula>
    </cfRule>
  </conditionalFormatting>
  <conditionalFormatting sqref="H15:L17">
    <cfRule type="cellIs" dxfId="1270" priority="203" stopIfTrue="1" operator="equal">
      <formula>"B"</formula>
    </cfRule>
    <cfRule type="cellIs" dxfId="1269" priority="204" stopIfTrue="1" operator="equal">
      <formula>"M"</formula>
    </cfRule>
    <cfRule type="cellIs" dxfId="1268" priority="205" stopIfTrue="1" operator="between">
      <formula>"NB"</formula>
      <formula>"NB^"</formula>
    </cfRule>
  </conditionalFormatting>
  <conditionalFormatting sqref="H23:L24">
    <cfRule type="cellIs" dxfId="1267" priority="200" stopIfTrue="1" operator="equal">
      <formula>"B"</formula>
    </cfRule>
    <cfRule type="cellIs" dxfId="1266" priority="201" stopIfTrue="1" operator="equal">
      <formula>"M"</formula>
    </cfRule>
    <cfRule type="cellIs" dxfId="1265" priority="202" stopIfTrue="1" operator="between">
      <formula>"NB"</formula>
      <formula>"NB^"</formula>
    </cfRule>
  </conditionalFormatting>
  <conditionalFormatting sqref="K9:L14">
    <cfRule type="cellIs" dxfId="1264" priority="197" stopIfTrue="1" operator="equal">
      <formula>"B"</formula>
    </cfRule>
    <cfRule type="cellIs" dxfId="1263" priority="198" stopIfTrue="1" operator="equal">
      <formula>"M"</formula>
    </cfRule>
    <cfRule type="cellIs" dxfId="1262" priority="199" stopIfTrue="1" operator="between">
      <formula>"NB"</formula>
      <formula>"NB^"</formula>
    </cfRule>
  </conditionalFormatting>
  <conditionalFormatting sqref="M27:M28">
    <cfRule type="containsText" dxfId="1261" priority="194" operator="containsText" text="NB">
      <formula>NOT(ISERROR(SEARCH("NB",M27)))</formula>
    </cfRule>
    <cfRule type="containsText" dxfId="1260" priority="195" operator="containsText" text="M">
      <formula>NOT(ISERROR(SEARCH("M",M27)))</formula>
    </cfRule>
    <cfRule type="containsText" dxfId="1259" priority="196" operator="containsText" text="B">
      <formula>NOT(ISERROR(SEARCH("B",M27)))</formula>
    </cfRule>
  </conditionalFormatting>
  <conditionalFormatting sqref="M8">
    <cfRule type="cellIs" dxfId="1258" priority="191" stopIfTrue="1" operator="equal">
      <formula>"B"</formula>
    </cfRule>
    <cfRule type="cellIs" dxfId="1257" priority="192" stopIfTrue="1" operator="equal">
      <formula>"M"</formula>
    </cfRule>
    <cfRule type="cellIs" dxfId="1256" priority="193" stopIfTrue="1" operator="between">
      <formula>"NB"</formula>
      <formula>"NB^"</formula>
    </cfRule>
  </conditionalFormatting>
  <conditionalFormatting sqref="M29">
    <cfRule type="cellIs" dxfId="1255" priority="190" stopIfTrue="1" operator="equal">
      <formula>0</formula>
    </cfRule>
  </conditionalFormatting>
  <conditionalFormatting sqref="M30:M35 M6:M7">
    <cfRule type="containsText" dxfId="1254" priority="187" operator="containsText" text="NB">
      <formula>NOT(ISERROR(SEARCH("NB",M6)))</formula>
    </cfRule>
    <cfRule type="containsText" dxfId="1253" priority="188" operator="containsText" text="M">
      <formula>NOT(ISERROR(SEARCH("M",M6)))</formula>
    </cfRule>
    <cfRule type="containsText" dxfId="1252" priority="189" operator="containsText" text="B">
      <formula>NOT(ISERROR(SEARCH("B",M6)))</formula>
    </cfRule>
  </conditionalFormatting>
  <conditionalFormatting sqref="M29">
    <cfRule type="cellIs" dxfId="1251" priority="186" stopIfTrue="1" operator="equal">
      <formula>0</formula>
    </cfRule>
  </conditionalFormatting>
  <conditionalFormatting sqref="M25:M26 M22">
    <cfRule type="cellIs" dxfId="1250" priority="183" stopIfTrue="1" operator="equal">
      <formula>"B"</formula>
    </cfRule>
    <cfRule type="cellIs" dxfId="1249" priority="184" stopIfTrue="1" operator="equal">
      <formula>"M"</formula>
    </cfRule>
    <cfRule type="cellIs" dxfId="1248" priority="185" stopIfTrue="1" operator="between">
      <formula>"NB"</formula>
      <formula>"NB^"</formula>
    </cfRule>
  </conditionalFormatting>
  <conditionalFormatting sqref="M18:M21">
    <cfRule type="cellIs" dxfId="1247" priority="180" stopIfTrue="1" operator="equal">
      <formula>"B"</formula>
    </cfRule>
    <cfRule type="cellIs" dxfId="1246" priority="181" stopIfTrue="1" operator="equal">
      <formula>"M"</formula>
    </cfRule>
    <cfRule type="cellIs" dxfId="1245" priority="182" stopIfTrue="1" operator="between">
      <formula>"NB"</formula>
      <formula>"NB^"</formula>
    </cfRule>
  </conditionalFormatting>
  <conditionalFormatting sqref="M15:M17">
    <cfRule type="cellIs" dxfId="1244" priority="177" stopIfTrue="1" operator="equal">
      <formula>"B"</formula>
    </cfRule>
    <cfRule type="cellIs" dxfId="1243" priority="178" stopIfTrue="1" operator="equal">
      <formula>"M"</formula>
    </cfRule>
    <cfRule type="cellIs" dxfId="1242" priority="179" stopIfTrue="1" operator="between">
      <formula>"NB"</formula>
      <formula>"NB^"</formula>
    </cfRule>
  </conditionalFormatting>
  <conditionalFormatting sqref="M23:M24">
    <cfRule type="cellIs" dxfId="1241" priority="174" stopIfTrue="1" operator="equal">
      <formula>"B"</formula>
    </cfRule>
    <cfRule type="cellIs" dxfId="1240" priority="175" stopIfTrue="1" operator="equal">
      <formula>"M"</formula>
    </cfRule>
    <cfRule type="cellIs" dxfId="1239" priority="176" stopIfTrue="1" operator="between">
      <formula>"NB"</formula>
      <formula>"NB^"</formula>
    </cfRule>
  </conditionalFormatting>
  <conditionalFormatting sqref="M9:M14">
    <cfRule type="cellIs" dxfId="1238" priority="171" stopIfTrue="1" operator="equal">
      <formula>"B"</formula>
    </cfRule>
    <cfRule type="cellIs" dxfId="1237" priority="172" stopIfTrue="1" operator="equal">
      <formula>"M"</formula>
    </cfRule>
    <cfRule type="cellIs" dxfId="1236" priority="173" stopIfTrue="1" operator="between">
      <formula>"NB"</formula>
      <formula>"NB^"</formula>
    </cfRule>
  </conditionalFormatting>
  <conditionalFormatting sqref="N27:N28">
    <cfRule type="containsText" dxfId="1235" priority="168" operator="containsText" text="NB">
      <formula>NOT(ISERROR(SEARCH("NB",N27)))</formula>
    </cfRule>
    <cfRule type="containsText" dxfId="1234" priority="169" operator="containsText" text="M">
      <formula>NOT(ISERROR(SEARCH("M",N27)))</formula>
    </cfRule>
    <cfRule type="containsText" dxfId="1233" priority="170" operator="containsText" text="B">
      <formula>NOT(ISERROR(SEARCH("B",N27)))</formula>
    </cfRule>
  </conditionalFormatting>
  <conditionalFormatting sqref="N8">
    <cfRule type="cellIs" dxfId="1232" priority="165" stopIfTrue="1" operator="equal">
      <formula>"B"</formula>
    </cfRule>
    <cfRule type="cellIs" dxfId="1231" priority="166" stopIfTrue="1" operator="equal">
      <formula>"M"</formula>
    </cfRule>
    <cfRule type="cellIs" dxfId="1230" priority="167" stopIfTrue="1" operator="between">
      <formula>"NB"</formula>
      <formula>"NB^"</formula>
    </cfRule>
  </conditionalFormatting>
  <conditionalFormatting sqref="N29">
    <cfRule type="cellIs" dxfId="1229" priority="164" stopIfTrue="1" operator="equal">
      <formula>0</formula>
    </cfRule>
  </conditionalFormatting>
  <conditionalFormatting sqref="N30:N35 N6:N7">
    <cfRule type="containsText" dxfId="1228" priority="161" operator="containsText" text="NB">
      <formula>NOT(ISERROR(SEARCH("NB",N6)))</formula>
    </cfRule>
    <cfRule type="containsText" dxfId="1227" priority="162" operator="containsText" text="M">
      <formula>NOT(ISERROR(SEARCH("M",N6)))</formula>
    </cfRule>
    <cfRule type="containsText" dxfId="1226" priority="163" operator="containsText" text="B">
      <formula>NOT(ISERROR(SEARCH("B",N6)))</formula>
    </cfRule>
  </conditionalFormatting>
  <conditionalFormatting sqref="N29">
    <cfRule type="cellIs" dxfId="1225" priority="160" stopIfTrue="1" operator="equal">
      <formula>0</formula>
    </cfRule>
  </conditionalFormatting>
  <conditionalFormatting sqref="N25:N26 N22">
    <cfRule type="cellIs" dxfId="1224" priority="157" stopIfTrue="1" operator="equal">
      <formula>"B"</formula>
    </cfRule>
    <cfRule type="cellIs" dxfId="1223" priority="158" stopIfTrue="1" operator="equal">
      <formula>"M"</formula>
    </cfRule>
    <cfRule type="cellIs" dxfId="1222" priority="159" stopIfTrue="1" operator="between">
      <formula>"NB"</formula>
      <formula>"NB^"</formula>
    </cfRule>
  </conditionalFormatting>
  <conditionalFormatting sqref="N18:N21">
    <cfRule type="cellIs" dxfId="1221" priority="154" stopIfTrue="1" operator="equal">
      <formula>"B"</formula>
    </cfRule>
    <cfRule type="cellIs" dxfId="1220" priority="155" stopIfTrue="1" operator="equal">
      <formula>"M"</formula>
    </cfRule>
    <cfRule type="cellIs" dxfId="1219" priority="156" stopIfTrue="1" operator="between">
      <formula>"NB"</formula>
      <formula>"NB^"</formula>
    </cfRule>
  </conditionalFormatting>
  <conditionalFormatting sqref="N15:N17">
    <cfRule type="cellIs" dxfId="1218" priority="151" stopIfTrue="1" operator="equal">
      <formula>"B"</formula>
    </cfRule>
    <cfRule type="cellIs" dxfId="1217" priority="152" stopIfTrue="1" operator="equal">
      <formula>"M"</formula>
    </cfRule>
    <cfRule type="cellIs" dxfId="1216" priority="153" stopIfTrue="1" operator="between">
      <formula>"NB"</formula>
      <formula>"NB^"</formula>
    </cfRule>
  </conditionalFormatting>
  <conditionalFormatting sqref="N23:N24">
    <cfRule type="cellIs" dxfId="1215" priority="148" stopIfTrue="1" operator="equal">
      <formula>"B"</formula>
    </cfRule>
    <cfRule type="cellIs" dxfId="1214" priority="149" stopIfTrue="1" operator="equal">
      <formula>"M"</formula>
    </cfRule>
    <cfRule type="cellIs" dxfId="1213" priority="150" stopIfTrue="1" operator="between">
      <formula>"NB"</formula>
      <formula>"NB^"</formula>
    </cfRule>
  </conditionalFormatting>
  <conditionalFormatting sqref="N9:N14">
    <cfRule type="cellIs" dxfId="1212" priority="145" stopIfTrue="1" operator="equal">
      <formula>"B"</formula>
    </cfRule>
    <cfRule type="cellIs" dxfId="1211" priority="146" stopIfTrue="1" operator="equal">
      <formula>"M"</formula>
    </cfRule>
    <cfRule type="cellIs" dxfId="1210" priority="147" stopIfTrue="1" operator="between">
      <formula>"NB"</formula>
      <formula>"NB^"</formula>
    </cfRule>
  </conditionalFormatting>
  <conditionalFormatting sqref="O27:Q28">
    <cfRule type="containsText" dxfId="1209" priority="142" operator="containsText" text="NB">
      <formula>NOT(ISERROR(SEARCH("NB",O27)))</formula>
    </cfRule>
    <cfRule type="containsText" dxfId="1208" priority="143" operator="containsText" text="M">
      <formula>NOT(ISERROR(SEARCH("M",O27)))</formula>
    </cfRule>
    <cfRule type="containsText" dxfId="1207" priority="144" operator="containsText" text="B">
      <formula>NOT(ISERROR(SEARCH("B",O27)))</formula>
    </cfRule>
  </conditionalFormatting>
  <conditionalFormatting sqref="O8:Q8">
    <cfRule type="cellIs" dxfId="1206" priority="139" stopIfTrue="1" operator="equal">
      <formula>"B"</formula>
    </cfRule>
    <cfRule type="cellIs" dxfId="1205" priority="140" stopIfTrue="1" operator="equal">
      <formula>"M"</formula>
    </cfRule>
    <cfRule type="cellIs" dxfId="1204" priority="141" stopIfTrue="1" operator="between">
      <formula>"NB"</formula>
      <formula>"NB^"</formula>
    </cfRule>
  </conditionalFormatting>
  <conditionalFormatting sqref="O29:Q29">
    <cfRule type="cellIs" dxfId="1203" priority="138" stopIfTrue="1" operator="equal">
      <formula>0</formula>
    </cfRule>
  </conditionalFormatting>
  <conditionalFormatting sqref="O30:Q35 O6:Q7">
    <cfRule type="containsText" dxfId="1202" priority="135" operator="containsText" text="NB">
      <formula>NOT(ISERROR(SEARCH("NB",O6)))</formula>
    </cfRule>
    <cfRule type="containsText" dxfId="1201" priority="136" operator="containsText" text="M">
      <formula>NOT(ISERROR(SEARCH("M",O6)))</formula>
    </cfRule>
    <cfRule type="containsText" dxfId="1200" priority="137" operator="containsText" text="B">
      <formula>NOT(ISERROR(SEARCH("B",O6)))</formula>
    </cfRule>
  </conditionalFormatting>
  <conditionalFormatting sqref="O29:Q29">
    <cfRule type="cellIs" dxfId="1199" priority="134" stopIfTrue="1" operator="equal">
      <formula>0</formula>
    </cfRule>
  </conditionalFormatting>
  <conditionalFormatting sqref="O25:Q26 O22:Q22">
    <cfRule type="cellIs" dxfId="1198" priority="131" stopIfTrue="1" operator="equal">
      <formula>"B"</formula>
    </cfRule>
    <cfRule type="cellIs" dxfId="1197" priority="132" stopIfTrue="1" operator="equal">
      <formula>"M"</formula>
    </cfRule>
    <cfRule type="cellIs" dxfId="1196" priority="133" stopIfTrue="1" operator="between">
      <formula>"NB"</formula>
      <formula>"NB^"</formula>
    </cfRule>
  </conditionalFormatting>
  <conditionalFormatting sqref="O18:Q21">
    <cfRule type="cellIs" dxfId="1195" priority="128" stopIfTrue="1" operator="equal">
      <formula>"B"</formula>
    </cfRule>
    <cfRule type="cellIs" dxfId="1194" priority="129" stopIfTrue="1" operator="equal">
      <formula>"M"</formula>
    </cfRule>
    <cfRule type="cellIs" dxfId="1193" priority="130" stopIfTrue="1" operator="between">
      <formula>"NB"</formula>
      <formula>"NB^"</formula>
    </cfRule>
  </conditionalFormatting>
  <conditionalFormatting sqref="O15:Q17">
    <cfRule type="cellIs" dxfId="1192" priority="125" stopIfTrue="1" operator="equal">
      <formula>"B"</formula>
    </cfRule>
    <cfRule type="cellIs" dxfId="1191" priority="126" stopIfTrue="1" operator="equal">
      <formula>"M"</formula>
    </cfRule>
    <cfRule type="cellIs" dxfId="1190" priority="127" stopIfTrue="1" operator="between">
      <formula>"NB"</formula>
      <formula>"NB^"</formula>
    </cfRule>
  </conditionalFormatting>
  <conditionalFormatting sqref="O23:Q24">
    <cfRule type="cellIs" dxfId="1189" priority="122" stopIfTrue="1" operator="equal">
      <formula>"B"</formula>
    </cfRule>
    <cfRule type="cellIs" dxfId="1188" priority="123" stopIfTrue="1" operator="equal">
      <formula>"M"</formula>
    </cfRule>
    <cfRule type="cellIs" dxfId="1187" priority="124" stopIfTrue="1" operator="between">
      <formula>"NB"</formula>
      <formula>"NB^"</formula>
    </cfRule>
  </conditionalFormatting>
  <conditionalFormatting sqref="O9:Q14">
    <cfRule type="cellIs" dxfId="1186" priority="119" stopIfTrue="1" operator="equal">
      <formula>"B"</formula>
    </cfRule>
    <cfRule type="cellIs" dxfId="1185" priority="120" stopIfTrue="1" operator="equal">
      <formula>"M"</formula>
    </cfRule>
    <cfRule type="cellIs" dxfId="1184" priority="121" stopIfTrue="1" operator="between">
      <formula>"NB"</formula>
      <formula>"NB^"</formula>
    </cfRule>
  </conditionalFormatting>
  <conditionalFormatting sqref="R22:S22 R25:S26">
    <cfRule type="cellIs" dxfId="1183" priority="116" stopIfTrue="1" operator="equal">
      <formula>"B"</formula>
    </cfRule>
    <cfRule type="cellIs" dxfId="1182" priority="117" stopIfTrue="1" operator="equal">
      <formula>"M"</formula>
    </cfRule>
    <cfRule type="cellIs" dxfId="1181" priority="118" stopIfTrue="1" operator="between">
      <formula>"NB"</formula>
      <formula>"NB^"</formula>
    </cfRule>
  </conditionalFormatting>
  <conditionalFormatting sqref="R30:R32 R34:R35 R27">
    <cfRule type="cellIs" dxfId="1180" priority="112" stopIfTrue="1" operator="equal">
      <formula>"B"</formula>
    </cfRule>
    <cfRule type="cellIs" dxfId="1179" priority="113" stopIfTrue="1" operator="equal">
      <formula>"M"</formula>
    </cfRule>
    <cfRule type="cellIs" dxfId="1178" priority="114" stopIfTrue="1" operator="between">
      <formula>"NB"</formula>
      <formula>"NB^"</formula>
    </cfRule>
  </conditionalFormatting>
  <conditionalFormatting sqref="R28:R29">
    <cfRule type="cellIs" dxfId="1177" priority="115" stopIfTrue="1" operator="equal">
      <formula>0</formula>
    </cfRule>
  </conditionalFormatting>
  <conditionalFormatting sqref="R6:R8 R18:R21 R33">
    <cfRule type="cellIs" dxfId="1176" priority="109" stopIfTrue="1" operator="equal">
      <formula>"B"</formula>
    </cfRule>
    <cfRule type="cellIs" dxfId="1175" priority="110" stopIfTrue="1" operator="equal">
      <formula>"M"</formula>
    </cfRule>
    <cfRule type="cellIs" dxfId="1174" priority="111" stopIfTrue="1" operator="between">
      <formula>"NB"</formula>
      <formula>"NB^"</formula>
    </cfRule>
  </conditionalFormatting>
  <conditionalFormatting sqref="R15:R17">
    <cfRule type="cellIs" dxfId="1173" priority="106" stopIfTrue="1" operator="equal">
      <formula>"B"</formula>
    </cfRule>
    <cfRule type="cellIs" dxfId="1172" priority="107" stopIfTrue="1" operator="equal">
      <formula>"M"</formula>
    </cfRule>
    <cfRule type="cellIs" dxfId="1171" priority="108" stopIfTrue="1" operator="between">
      <formula>"NB"</formula>
      <formula>"NB^"</formula>
    </cfRule>
  </conditionalFormatting>
  <conditionalFormatting sqref="R23:S24">
    <cfRule type="cellIs" dxfId="1170" priority="103" stopIfTrue="1" operator="equal">
      <formula>"B"</formula>
    </cfRule>
    <cfRule type="cellIs" dxfId="1169" priority="104" stopIfTrue="1" operator="equal">
      <formula>"M"</formula>
    </cfRule>
    <cfRule type="cellIs" dxfId="1168" priority="105" stopIfTrue="1" operator="between">
      <formula>"NB"</formula>
      <formula>"NB^"</formula>
    </cfRule>
  </conditionalFormatting>
  <conditionalFormatting sqref="R9:R14">
    <cfRule type="cellIs" dxfId="1167" priority="100" stopIfTrue="1" operator="equal">
      <formula>"B"</formula>
    </cfRule>
    <cfRule type="cellIs" dxfId="1166" priority="101" stopIfTrue="1" operator="equal">
      <formula>"M"</formula>
    </cfRule>
    <cfRule type="cellIs" dxfId="1165" priority="102" stopIfTrue="1" operator="between">
      <formula>"NB"</formula>
      <formula>"NB^"</formula>
    </cfRule>
  </conditionalFormatting>
  <conditionalFormatting sqref="T6:T7 T9:T21 T27:T35">
    <cfRule type="containsText" dxfId="1164" priority="97" operator="containsText" text="NB">
      <formula>NOT(ISERROR(SEARCH("NB",T6)))</formula>
    </cfRule>
    <cfRule type="containsText" dxfId="1163" priority="98" operator="containsText" text="M">
      <formula>NOT(ISERROR(SEARCH("M",T6)))</formula>
    </cfRule>
    <cfRule type="containsText" dxfId="1162" priority="99" operator="containsText" text="B">
      <formula>NOT(ISERROR(SEARCH("B",T6)))</formula>
    </cfRule>
  </conditionalFormatting>
  <conditionalFormatting sqref="T8">
    <cfRule type="cellIs" dxfId="1161" priority="94" stopIfTrue="1" operator="equal">
      <formula>"B"</formula>
    </cfRule>
    <cfRule type="cellIs" dxfId="1160" priority="95" stopIfTrue="1" operator="equal">
      <formula>"M"</formula>
    </cfRule>
    <cfRule type="cellIs" dxfId="1159" priority="96" stopIfTrue="1" operator="between">
      <formula>"NB"</formula>
      <formula>"NB^"</formula>
    </cfRule>
  </conditionalFormatting>
  <conditionalFormatting sqref="T29">
    <cfRule type="cellIs" dxfId="1158" priority="93" stopIfTrue="1" operator="equal">
      <formula>0</formula>
    </cfRule>
  </conditionalFormatting>
  <conditionalFormatting sqref="T22 T25:T26">
    <cfRule type="cellIs" dxfId="1157" priority="90" stopIfTrue="1" operator="equal">
      <formula>"B"</formula>
    </cfRule>
    <cfRule type="cellIs" dxfId="1156" priority="91" stopIfTrue="1" operator="equal">
      <formula>"M"</formula>
    </cfRule>
    <cfRule type="cellIs" dxfId="1155" priority="92" stopIfTrue="1" operator="between">
      <formula>"NB"</formula>
      <formula>"NB^"</formula>
    </cfRule>
  </conditionalFormatting>
  <conditionalFormatting sqref="T23:T24">
    <cfRule type="cellIs" dxfId="1154" priority="87" stopIfTrue="1" operator="equal">
      <formula>"B"</formula>
    </cfRule>
    <cfRule type="cellIs" dxfId="1153" priority="88" stopIfTrue="1" operator="equal">
      <formula>"M"</formula>
    </cfRule>
    <cfRule type="cellIs" dxfId="1152" priority="89" stopIfTrue="1" operator="between">
      <formula>"NB"</formula>
      <formula>"NB^"</formula>
    </cfRule>
  </conditionalFormatting>
  <conditionalFormatting sqref="U6:U7 U9:U21 U27:U35">
    <cfRule type="containsText" dxfId="1151" priority="84" operator="containsText" text="NB">
      <formula>NOT(ISERROR(SEARCH("NB",U6)))</formula>
    </cfRule>
    <cfRule type="containsText" dxfId="1150" priority="85" operator="containsText" text="M">
      <formula>NOT(ISERROR(SEARCH("M",U6)))</formula>
    </cfRule>
    <cfRule type="containsText" dxfId="1149" priority="86" operator="containsText" text="B">
      <formula>NOT(ISERROR(SEARCH("B",U6)))</formula>
    </cfRule>
  </conditionalFormatting>
  <conditionalFormatting sqref="U8">
    <cfRule type="cellIs" dxfId="1148" priority="81" stopIfTrue="1" operator="equal">
      <formula>"B"</formula>
    </cfRule>
    <cfRule type="cellIs" dxfId="1147" priority="82" stopIfTrue="1" operator="equal">
      <formula>"M"</formula>
    </cfRule>
    <cfRule type="cellIs" dxfId="1146" priority="83" stopIfTrue="1" operator="between">
      <formula>"NB"</formula>
      <formula>"NB^"</formula>
    </cfRule>
  </conditionalFormatting>
  <conditionalFormatting sqref="U29">
    <cfRule type="cellIs" dxfId="1145" priority="80" stopIfTrue="1" operator="equal">
      <formula>0</formula>
    </cfRule>
  </conditionalFormatting>
  <conditionalFormatting sqref="U22 U25:U26">
    <cfRule type="cellIs" dxfId="1144" priority="77" stopIfTrue="1" operator="equal">
      <formula>"B"</formula>
    </cfRule>
    <cfRule type="cellIs" dxfId="1143" priority="78" stopIfTrue="1" operator="equal">
      <formula>"M"</formula>
    </cfRule>
    <cfRule type="cellIs" dxfId="1142" priority="79" stopIfTrue="1" operator="between">
      <formula>"NB"</formula>
      <formula>"NB^"</formula>
    </cfRule>
  </conditionalFormatting>
  <conditionalFormatting sqref="U23:U24">
    <cfRule type="cellIs" dxfId="1141" priority="74" stopIfTrue="1" operator="equal">
      <formula>"B"</formula>
    </cfRule>
    <cfRule type="cellIs" dxfId="1140" priority="75" stopIfTrue="1" operator="equal">
      <formula>"M"</formula>
    </cfRule>
    <cfRule type="cellIs" dxfId="1139" priority="76" stopIfTrue="1" operator="between">
      <formula>"NB"</formula>
      <formula>"NB^"</formula>
    </cfRule>
  </conditionalFormatting>
  <conditionalFormatting sqref="V6:W7 V9:W21 V27:W35">
    <cfRule type="containsText" dxfId="1138" priority="71" operator="containsText" text="NB">
      <formula>NOT(ISERROR(SEARCH("NB",V6)))</formula>
    </cfRule>
    <cfRule type="containsText" dxfId="1137" priority="72" operator="containsText" text="M">
      <formula>NOT(ISERROR(SEARCH("M",V6)))</formula>
    </cfRule>
    <cfRule type="containsText" dxfId="1136" priority="73" operator="containsText" text="B">
      <formula>NOT(ISERROR(SEARCH("B",V6)))</formula>
    </cfRule>
  </conditionalFormatting>
  <conditionalFormatting sqref="V8:W8">
    <cfRule type="cellIs" dxfId="1135" priority="68" stopIfTrue="1" operator="equal">
      <formula>"B"</formula>
    </cfRule>
    <cfRule type="cellIs" dxfId="1134" priority="69" stopIfTrue="1" operator="equal">
      <formula>"M"</formula>
    </cfRule>
    <cfRule type="cellIs" dxfId="1133" priority="70" stopIfTrue="1" operator="between">
      <formula>"NB"</formula>
      <formula>"NB^"</formula>
    </cfRule>
  </conditionalFormatting>
  <conditionalFormatting sqref="V29:W29">
    <cfRule type="cellIs" dxfId="1132" priority="67" stopIfTrue="1" operator="equal">
      <formula>0</formula>
    </cfRule>
  </conditionalFormatting>
  <conditionalFormatting sqref="V22:W22 V25:W26">
    <cfRule type="cellIs" dxfId="1131" priority="64" stopIfTrue="1" operator="equal">
      <formula>"B"</formula>
    </cfRule>
    <cfRule type="cellIs" dxfId="1130" priority="65" stopIfTrue="1" operator="equal">
      <formula>"M"</formula>
    </cfRule>
    <cfRule type="cellIs" dxfId="1129" priority="66" stopIfTrue="1" operator="between">
      <formula>"NB"</formula>
      <formula>"NB^"</formula>
    </cfRule>
  </conditionalFormatting>
  <conditionalFormatting sqref="V23:W24">
    <cfRule type="cellIs" dxfId="1128" priority="61" stopIfTrue="1" operator="equal">
      <formula>"B"</formula>
    </cfRule>
    <cfRule type="cellIs" dxfId="1127" priority="62" stopIfTrue="1" operator="equal">
      <formula>"M"</formula>
    </cfRule>
    <cfRule type="cellIs" dxfId="1126" priority="63" stopIfTrue="1" operator="between">
      <formula>"NB"</formula>
      <formula>"NB^"</formula>
    </cfRule>
  </conditionalFormatting>
  <conditionalFormatting sqref="X6:Z7 X9:Z21 X27:Z35">
    <cfRule type="containsText" dxfId="1125" priority="58" operator="containsText" text="NB">
      <formula>NOT(ISERROR(SEARCH("NB",X6)))</formula>
    </cfRule>
    <cfRule type="containsText" dxfId="1124" priority="59" operator="containsText" text="M">
      <formula>NOT(ISERROR(SEARCH("M",X6)))</formula>
    </cfRule>
    <cfRule type="containsText" dxfId="1123" priority="60" operator="containsText" text="B">
      <formula>NOT(ISERROR(SEARCH("B",X6)))</formula>
    </cfRule>
  </conditionalFormatting>
  <conditionalFormatting sqref="X8:Z8">
    <cfRule type="cellIs" dxfId="1122" priority="55" stopIfTrue="1" operator="equal">
      <formula>"B"</formula>
    </cfRule>
    <cfRule type="cellIs" dxfId="1121" priority="56" stopIfTrue="1" operator="equal">
      <formula>"M"</formula>
    </cfRule>
    <cfRule type="cellIs" dxfId="1120" priority="57" stopIfTrue="1" operator="between">
      <formula>"NB"</formula>
      <formula>"NB^"</formula>
    </cfRule>
  </conditionalFormatting>
  <conditionalFormatting sqref="X29:Z29">
    <cfRule type="cellIs" dxfId="1119" priority="54" stopIfTrue="1" operator="equal">
      <formula>0</formula>
    </cfRule>
  </conditionalFormatting>
  <conditionalFormatting sqref="X22:Z22 X25:AA26">
    <cfRule type="cellIs" dxfId="1118" priority="51" stopIfTrue="1" operator="equal">
      <formula>"B"</formula>
    </cfRule>
    <cfRule type="cellIs" dxfId="1117" priority="52" stopIfTrue="1" operator="equal">
      <formula>"M"</formula>
    </cfRule>
    <cfRule type="cellIs" dxfId="1116" priority="53" stopIfTrue="1" operator="between">
      <formula>"NB"</formula>
      <formula>"NB^"</formula>
    </cfRule>
  </conditionalFormatting>
  <conditionalFormatting sqref="X23:AA24">
    <cfRule type="cellIs" dxfId="1115" priority="48" stopIfTrue="1" operator="equal">
      <formula>"B"</formula>
    </cfRule>
    <cfRule type="cellIs" dxfId="1114" priority="49" stopIfTrue="1" operator="equal">
      <formula>"M"</formula>
    </cfRule>
    <cfRule type="cellIs" dxfId="1113" priority="50" stopIfTrue="1" operator="between">
      <formula>"NB"</formula>
      <formula>"NB^"</formula>
    </cfRule>
  </conditionalFormatting>
  <conditionalFormatting sqref="AA6:AA7 AA9:AA21">
    <cfRule type="containsText" dxfId="1112" priority="45" operator="containsText" text="NB">
      <formula>NOT(ISERROR(SEARCH("NB",AA6)))</formula>
    </cfRule>
    <cfRule type="containsText" dxfId="1111" priority="46" operator="containsText" text="M">
      <formula>NOT(ISERROR(SEARCH("M",AA6)))</formula>
    </cfRule>
    <cfRule type="containsText" dxfId="1110" priority="47" operator="containsText" text="B">
      <formula>NOT(ISERROR(SEARCH("B",AA6)))</formula>
    </cfRule>
  </conditionalFormatting>
  <conditionalFormatting sqref="AA8">
    <cfRule type="cellIs" dxfId="1109" priority="42" stopIfTrue="1" operator="equal">
      <formula>"B"</formula>
    </cfRule>
    <cfRule type="cellIs" dxfId="1108" priority="43" stopIfTrue="1" operator="equal">
      <formula>"M"</formula>
    </cfRule>
    <cfRule type="cellIs" dxfId="1107" priority="44" stopIfTrue="1" operator="between">
      <formula>"NB"</formula>
      <formula>"NB^"</formula>
    </cfRule>
  </conditionalFormatting>
  <conditionalFormatting sqref="AA22">
    <cfRule type="cellIs" dxfId="1106" priority="39" stopIfTrue="1" operator="equal">
      <formula>"B"</formula>
    </cfRule>
    <cfRule type="cellIs" dxfId="1105" priority="40" stopIfTrue="1" operator="equal">
      <formula>"M"</formula>
    </cfRule>
    <cfRule type="cellIs" dxfId="1104" priority="41" stopIfTrue="1" operator="between">
      <formula>"NB"</formula>
      <formula>"NB^"</formula>
    </cfRule>
  </conditionalFormatting>
  <conditionalFormatting sqref="AB27:AB35">
    <cfRule type="containsText" dxfId="1103" priority="36" operator="containsText" text="NB">
      <formula>NOT(ISERROR(SEARCH("NB",AB27)))</formula>
    </cfRule>
    <cfRule type="containsText" dxfId="1102" priority="37" operator="containsText" text="M">
      <formula>NOT(ISERROR(SEARCH("M",AB27)))</formula>
    </cfRule>
    <cfRule type="containsText" dxfId="1101" priority="38" operator="containsText" text="B">
      <formula>NOT(ISERROR(SEARCH("B",AB27)))</formula>
    </cfRule>
  </conditionalFormatting>
  <conditionalFormatting sqref="AB29">
    <cfRule type="cellIs" dxfId="1100" priority="35" stopIfTrue="1" operator="equal">
      <formula>0</formula>
    </cfRule>
  </conditionalFormatting>
  <conditionalFormatting sqref="AB25:AB26">
    <cfRule type="cellIs" dxfId="1099" priority="32" stopIfTrue="1" operator="equal">
      <formula>"B"</formula>
    </cfRule>
    <cfRule type="cellIs" dxfId="1098" priority="33" stopIfTrue="1" operator="equal">
      <formula>"M"</formula>
    </cfRule>
    <cfRule type="cellIs" dxfId="1097" priority="34" stopIfTrue="1" operator="between">
      <formula>"NB"</formula>
      <formula>"NB^"</formula>
    </cfRule>
  </conditionalFormatting>
  <conditionalFormatting sqref="AB23:AB24">
    <cfRule type="cellIs" dxfId="1096" priority="29" stopIfTrue="1" operator="equal">
      <formula>"B"</formula>
    </cfRule>
    <cfRule type="cellIs" dxfId="1095" priority="30" stopIfTrue="1" operator="equal">
      <formula>"M"</formula>
    </cfRule>
    <cfRule type="cellIs" dxfId="1094" priority="31" stopIfTrue="1" operator="between">
      <formula>"NB"</formula>
      <formula>"NB^"</formula>
    </cfRule>
  </conditionalFormatting>
  <conditionalFormatting sqref="AB6:AB7 AB9:AB21">
    <cfRule type="containsText" dxfId="1093" priority="26" operator="containsText" text="NB">
      <formula>NOT(ISERROR(SEARCH("NB",AB6)))</formula>
    </cfRule>
    <cfRule type="containsText" dxfId="1092" priority="27" operator="containsText" text="M">
      <formula>NOT(ISERROR(SEARCH("M",AB6)))</formula>
    </cfRule>
    <cfRule type="containsText" dxfId="1091" priority="28" operator="containsText" text="B">
      <formula>NOT(ISERROR(SEARCH("B",AB6)))</formula>
    </cfRule>
  </conditionalFormatting>
  <conditionalFormatting sqref="AB8">
    <cfRule type="cellIs" dxfId="1090" priority="23" stopIfTrue="1" operator="equal">
      <formula>"B"</formula>
    </cfRule>
    <cfRule type="cellIs" dxfId="1089" priority="24" stopIfTrue="1" operator="equal">
      <formula>"M"</formula>
    </cfRule>
    <cfRule type="cellIs" dxfId="1088" priority="25" stopIfTrue="1" operator="between">
      <formula>"NB"</formula>
      <formula>"NB^"</formula>
    </cfRule>
  </conditionalFormatting>
  <conditionalFormatting sqref="AB22">
    <cfRule type="cellIs" dxfId="1087" priority="20" stopIfTrue="1" operator="equal">
      <formula>"B"</formula>
    </cfRule>
    <cfRule type="cellIs" dxfId="1086" priority="21" stopIfTrue="1" operator="equal">
      <formula>"M"</formula>
    </cfRule>
    <cfRule type="cellIs" dxfId="1085" priority="22" stopIfTrue="1" operator="between">
      <formula>"NB"</formula>
      <formula>"NB^"</formula>
    </cfRule>
  </conditionalFormatting>
  <conditionalFormatting sqref="AC27:AG35">
    <cfRule type="containsText" dxfId="1084" priority="17" operator="containsText" text="NB">
      <formula>NOT(ISERROR(SEARCH("NB",AC27)))</formula>
    </cfRule>
    <cfRule type="containsText" dxfId="1083" priority="18" operator="containsText" text="M">
      <formula>NOT(ISERROR(SEARCH("M",AC27)))</formula>
    </cfRule>
    <cfRule type="containsText" dxfId="1082" priority="19" operator="containsText" text="B">
      <formula>NOT(ISERROR(SEARCH("B",AC27)))</formula>
    </cfRule>
  </conditionalFormatting>
  <conditionalFormatting sqref="AC29:AG29">
    <cfRule type="cellIs" dxfId="1081" priority="16" stopIfTrue="1" operator="equal">
      <formula>0</formula>
    </cfRule>
  </conditionalFormatting>
  <conditionalFormatting sqref="AC25:AH26">
    <cfRule type="cellIs" dxfId="1080" priority="13" stopIfTrue="1" operator="equal">
      <formula>"B"</formula>
    </cfRule>
    <cfRule type="cellIs" dxfId="1079" priority="14" stopIfTrue="1" operator="equal">
      <formula>"M"</formula>
    </cfRule>
    <cfRule type="cellIs" dxfId="1078" priority="15" stopIfTrue="1" operator="between">
      <formula>"NB"</formula>
      <formula>"NB^"</formula>
    </cfRule>
  </conditionalFormatting>
  <conditionalFormatting sqref="AC23:AH24">
    <cfRule type="cellIs" dxfId="1077" priority="10" stopIfTrue="1" operator="equal">
      <formula>"B"</formula>
    </cfRule>
    <cfRule type="cellIs" dxfId="1076" priority="11" stopIfTrue="1" operator="equal">
      <formula>"M"</formula>
    </cfRule>
    <cfRule type="cellIs" dxfId="1075" priority="12" stopIfTrue="1" operator="between">
      <formula>"NB"</formula>
      <formula>"NB^"</formula>
    </cfRule>
  </conditionalFormatting>
  <conditionalFormatting sqref="AC6:AG7 AC9:AG21 AH9:AH14">
    <cfRule type="containsText" dxfId="1074" priority="7" operator="containsText" text="NB">
      <formula>NOT(ISERROR(SEARCH("NB",AC6)))</formula>
    </cfRule>
    <cfRule type="containsText" dxfId="1073" priority="8" operator="containsText" text="M">
      <formula>NOT(ISERROR(SEARCH("M",AC6)))</formula>
    </cfRule>
    <cfRule type="containsText" dxfId="1072" priority="9" operator="containsText" text="B">
      <formula>NOT(ISERROR(SEARCH("B",AC6)))</formula>
    </cfRule>
  </conditionalFormatting>
  <conditionalFormatting sqref="AC8:AG8">
    <cfRule type="cellIs" dxfId="1071" priority="4" stopIfTrue="1" operator="equal">
      <formula>"B"</formula>
    </cfRule>
    <cfRule type="cellIs" dxfId="1070" priority="5" stopIfTrue="1" operator="equal">
      <formula>"M"</formula>
    </cfRule>
    <cfRule type="cellIs" dxfId="1069" priority="6" stopIfTrue="1" operator="between">
      <formula>"NB"</formula>
      <formula>"NB^"</formula>
    </cfRule>
  </conditionalFormatting>
  <conditionalFormatting sqref="AC22:AG22">
    <cfRule type="cellIs" dxfId="1068" priority="1" stopIfTrue="1" operator="equal">
      <formula>"B"</formula>
    </cfRule>
    <cfRule type="cellIs" dxfId="1067" priority="2" stopIfTrue="1" operator="equal">
      <formula>"M"</formula>
    </cfRule>
    <cfRule type="cellIs" dxfId="1066" priority="3" stopIfTrue="1" operator="between">
      <formula>"NB"</formula>
      <formula>"NB^"</formula>
    </cfRule>
  </conditionalFormatting>
  <pageMargins left="0.75" right="0.75" top="1" bottom="1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3" width="5.7109375" customWidth="1"/>
    <col min="34" max="34" width="9.42578125" style="3" bestFit="1" customWidth="1"/>
  </cols>
  <sheetData>
    <row r="1" spans="1:43" ht="19.5" customHeight="1" x14ac:dyDescent="0.35">
      <c r="A1" s="1" t="s">
        <v>0</v>
      </c>
      <c r="I1" s="2" t="s">
        <v>1</v>
      </c>
    </row>
    <row r="2" spans="1:43" ht="15" customHeight="1" x14ac:dyDescent="0.25">
      <c r="A2" s="1" t="s">
        <v>91</v>
      </c>
    </row>
    <row r="3" spans="1:43" ht="23.25" x14ac:dyDescent="0.35">
      <c r="A3" s="1" t="s">
        <v>2</v>
      </c>
      <c r="P3" s="4" t="s">
        <v>106</v>
      </c>
    </row>
    <row r="4" spans="1:43" s="5" customFormat="1" ht="15.75" customHeight="1" thickBot="1" x14ac:dyDescent="0.3">
      <c r="C4" s="6"/>
      <c r="H4" s="6" t="s">
        <v>3</v>
      </c>
      <c r="I4" s="5" t="s">
        <v>3</v>
      </c>
      <c r="O4" s="6" t="s">
        <v>3</v>
      </c>
      <c r="P4" s="5" t="s">
        <v>3</v>
      </c>
      <c r="V4" s="5" t="s">
        <v>3</v>
      </c>
      <c r="W4" s="5" t="s">
        <v>3</v>
      </c>
      <c r="AC4" s="5" t="s">
        <v>3</v>
      </c>
      <c r="AD4" s="5" t="s">
        <v>3</v>
      </c>
      <c r="AI4"/>
      <c r="AJ4"/>
      <c r="AK4"/>
      <c r="AL4"/>
      <c r="AM4"/>
      <c r="AN4"/>
      <c r="AO4"/>
      <c r="AP4"/>
      <c r="AQ4"/>
    </row>
    <row r="5" spans="1:43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9">
        <v>26</v>
      </c>
      <c r="AD5" s="9">
        <v>27</v>
      </c>
      <c r="AE5" s="9">
        <v>28</v>
      </c>
      <c r="AF5" s="9">
        <v>29</v>
      </c>
      <c r="AG5" s="9">
        <v>30</v>
      </c>
      <c r="AH5" s="11" t="s">
        <v>6</v>
      </c>
      <c r="AI5"/>
      <c r="AJ5"/>
      <c r="AK5"/>
      <c r="AL5"/>
      <c r="AM5"/>
      <c r="AN5"/>
      <c r="AO5"/>
      <c r="AP5"/>
      <c r="AQ5"/>
    </row>
    <row r="6" spans="1:43" ht="15.75" customHeight="1" x14ac:dyDescent="0.25">
      <c r="A6" s="156" t="s">
        <v>7</v>
      </c>
      <c r="B6" s="157"/>
      <c r="C6" s="158"/>
      <c r="D6" s="72" t="s">
        <v>22</v>
      </c>
      <c r="E6" s="72" t="s">
        <v>9</v>
      </c>
      <c r="F6" s="72" t="s">
        <v>9</v>
      </c>
      <c r="G6" s="72" t="s">
        <v>9</v>
      </c>
      <c r="H6" s="72" t="s">
        <v>9</v>
      </c>
      <c r="I6" s="72" t="s">
        <v>8</v>
      </c>
      <c r="J6" s="72" t="s">
        <v>8</v>
      </c>
      <c r="K6" s="72" t="s">
        <v>8</v>
      </c>
      <c r="L6" s="72" t="s">
        <v>8</v>
      </c>
      <c r="M6" s="72" t="s">
        <v>8</v>
      </c>
      <c r="N6" s="72" t="s">
        <v>9</v>
      </c>
      <c r="O6" s="72" t="s">
        <v>9</v>
      </c>
      <c r="P6" s="72" t="s">
        <v>9</v>
      </c>
      <c r="Q6" s="72" t="s">
        <v>9</v>
      </c>
      <c r="R6" s="72" t="s">
        <v>9</v>
      </c>
      <c r="S6" s="72" t="s">
        <v>22</v>
      </c>
      <c r="T6" s="72" t="s">
        <v>22</v>
      </c>
      <c r="U6" s="72" t="s">
        <v>22</v>
      </c>
      <c r="V6" s="72" t="s">
        <v>22</v>
      </c>
      <c r="W6" s="72" t="s">
        <v>22</v>
      </c>
      <c r="X6" s="72" t="s">
        <v>22</v>
      </c>
      <c r="Y6" s="72" t="s">
        <v>9</v>
      </c>
      <c r="Z6" s="72" t="s">
        <v>8</v>
      </c>
      <c r="AA6" s="72" t="s">
        <v>9</v>
      </c>
      <c r="AB6" s="72" t="s">
        <v>9</v>
      </c>
      <c r="AC6" s="72" t="s">
        <v>22</v>
      </c>
      <c r="AD6" s="72" t="s">
        <v>12</v>
      </c>
      <c r="AE6" s="72" t="s">
        <v>12</v>
      </c>
      <c r="AF6" s="72" t="s">
        <v>12</v>
      </c>
      <c r="AG6" s="72" t="s">
        <v>12</v>
      </c>
      <c r="AH6" s="13">
        <f t="shared" ref="AH6:AH34" si="0">IF(COUNTA(D6:AG6)&gt;0,(COUNTA(D6:AG6)-COUNTIF(D6:AG6,"NB")-COUNTIF(D6:AG6,"DN")-COUNTIF(D6:AG6,"An")-COUNTIF(D6:AG6,"NB^")-COUNTIF(D6:AG6,0))/COUNTA(D6:AG6),"")</f>
        <v>0.8666666666666667</v>
      </c>
    </row>
    <row r="7" spans="1:43" ht="15.75" customHeight="1" x14ac:dyDescent="0.25">
      <c r="A7" s="180" t="s">
        <v>10</v>
      </c>
      <c r="B7" s="181"/>
      <c r="C7" s="182"/>
      <c r="D7" s="73" t="s">
        <v>22</v>
      </c>
      <c r="E7" s="73" t="s">
        <v>11</v>
      </c>
      <c r="F7" s="73" t="s">
        <v>11</v>
      </c>
      <c r="G7" s="73" t="s">
        <v>11</v>
      </c>
      <c r="H7" s="73" t="s">
        <v>11</v>
      </c>
      <c r="I7" s="73" t="s">
        <v>11</v>
      </c>
      <c r="J7" s="73" t="s">
        <v>11</v>
      </c>
      <c r="K7" s="73" t="s">
        <v>11</v>
      </c>
      <c r="L7" s="73" t="s">
        <v>11</v>
      </c>
      <c r="M7" s="73" t="s">
        <v>11</v>
      </c>
      <c r="N7" s="73" t="s">
        <v>11</v>
      </c>
      <c r="O7" s="14" t="s">
        <v>11</v>
      </c>
      <c r="P7" s="14" t="s">
        <v>11</v>
      </c>
      <c r="Q7" s="14" t="s">
        <v>11</v>
      </c>
      <c r="R7" s="14" t="s">
        <v>11</v>
      </c>
      <c r="S7" s="14" t="s">
        <v>22</v>
      </c>
      <c r="T7" s="14" t="s">
        <v>22</v>
      </c>
      <c r="U7" s="14" t="s">
        <v>22</v>
      </c>
      <c r="V7" s="14" t="s">
        <v>22</v>
      </c>
      <c r="W7" s="14" t="s">
        <v>22</v>
      </c>
      <c r="X7" s="14" t="s">
        <v>22</v>
      </c>
      <c r="Y7" s="14" t="s">
        <v>9</v>
      </c>
      <c r="Z7" s="14" t="s">
        <v>11</v>
      </c>
      <c r="AA7" s="14" t="s">
        <v>11</v>
      </c>
      <c r="AB7" s="14" t="s">
        <v>11</v>
      </c>
      <c r="AC7" s="14" t="s">
        <v>22</v>
      </c>
      <c r="AD7" s="14" t="s">
        <v>12</v>
      </c>
      <c r="AE7" s="14" t="s">
        <v>12</v>
      </c>
      <c r="AF7" s="14" t="s">
        <v>12</v>
      </c>
      <c r="AG7" s="14" t="s">
        <v>12</v>
      </c>
      <c r="AH7" s="17">
        <f t="shared" si="0"/>
        <v>0.8666666666666667</v>
      </c>
    </row>
    <row r="8" spans="1:43" ht="15.75" customHeight="1" x14ac:dyDescent="0.25">
      <c r="A8" s="162" t="s">
        <v>93</v>
      </c>
      <c r="B8" s="163"/>
      <c r="C8" s="164"/>
      <c r="D8" s="18" t="s">
        <v>12</v>
      </c>
      <c r="E8" s="18" t="s">
        <v>11</v>
      </c>
      <c r="F8" s="18" t="s">
        <v>11</v>
      </c>
      <c r="G8" s="18" t="s">
        <v>11</v>
      </c>
      <c r="H8" s="18" t="s">
        <v>11</v>
      </c>
      <c r="I8" s="18" t="s">
        <v>11</v>
      </c>
      <c r="J8" s="18" t="s">
        <v>11</v>
      </c>
      <c r="K8" s="18" t="s">
        <v>11</v>
      </c>
      <c r="L8" s="18" t="s">
        <v>11</v>
      </c>
      <c r="M8" s="18" t="s">
        <v>11</v>
      </c>
      <c r="N8" s="18" t="s">
        <v>11</v>
      </c>
      <c r="O8" s="18" t="s">
        <v>11</v>
      </c>
      <c r="P8" s="18" t="s">
        <v>12</v>
      </c>
      <c r="Q8" s="18" t="s">
        <v>12</v>
      </c>
      <c r="R8" s="18" t="s">
        <v>12</v>
      </c>
      <c r="S8" s="18" t="s">
        <v>12</v>
      </c>
      <c r="T8" s="18" t="s">
        <v>12</v>
      </c>
      <c r="U8" s="18" t="s">
        <v>12</v>
      </c>
      <c r="V8" s="18" t="s">
        <v>12</v>
      </c>
      <c r="W8" s="18" t="s">
        <v>12</v>
      </c>
      <c r="X8" s="18" t="s">
        <v>12</v>
      </c>
      <c r="Y8" s="18" t="s">
        <v>12</v>
      </c>
      <c r="Z8" s="18" t="s">
        <v>12</v>
      </c>
      <c r="AA8" s="18" t="s">
        <v>12</v>
      </c>
      <c r="AB8" s="18" t="s">
        <v>12</v>
      </c>
      <c r="AC8" s="18" t="s">
        <v>12</v>
      </c>
      <c r="AD8" s="18" t="s">
        <v>12</v>
      </c>
      <c r="AE8" s="18" t="s">
        <v>12</v>
      </c>
      <c r="AF8" s="18" t="s">
        <v>12</v>
      </c>
      <c r="AG8" s="18" t="s">
        <v>12</v>
      </c>
      <c r="AH8" s="19">
        <f t="shared" si="0"/>
        <v>0.36666666666666664</v>
      </c>
    </row>
    <row r="9" spans="1:43" ht="15.75" customHeight="1" x14ac:dyDescent="0.25">
      <c r="A9" s="174" t="s">
        <v>13</v>
      </c>
      <c r="B9" s="175"/>
      <c r="C9" s="176"/>
      <c r="D9" s="79" t="s">
        <v>12</v>
      </c>
      <c r="E9" s="79" t="s">
        <v>12</v>
      </c>
      <c r="F9" s="20" t="s">
        <v>11</v>
      </c>
      <c r="G9" s="20" t="s">
        <v>11</v>
      </c>
      <c r="H9" s="20" t="s">
        <v>11</v>
      </c>
      <c r="I9" s="20" t="s">
        <v>11</v>
      </c>
      <c r="J9" s="20" t="s">
        <v>11</v>
      </c>
      <c r="K9" s="20" t="s">
        <v>11</v>
      </c>
      <c r="L9" s="20" t="s">
        <v>11</v>
      </c>
      <c r="M9" s="20" t="s">
        <v>11</v>
      </c>
      <c r="N9" s="20" t="s">
        <v>11</v>
      </c>
      <c r="O9" s="20" t="s">
        <v>11</v>
      </c>
      <c r="P9" s="20" t="s">
        <v>11</v>
      </c>
      <c r="Q9" s="20" t="s">
        <v>11</v>
      </c>
      <c r="R9" s="20" t="s">
        <v>11</v>
      </c>
      <c r="S9" s="20" t="s">
        <v>12</v>
      </c>
      <c r="T9" s="20" t="s">
        <v>12</v>
      </c>
      <c r="U9" s="20" t="s">
        <v>12</v>
      </c>
      <c r="V9" s="20" t="s">
        <v>12</v>
      </c>
      <c r="W9" s="20" t="s">
        <v>12</v>
      </c>
      <c r="X9" s="20" t="s">
        <v>12</v>
      </c>
      <c r="Y9" s="20" t="s">
        <v>11</v>
      </c>
      <c r="Z9" s="20" t="s">
        <v>11</v>
      </c>
      <c r="AA9" s="20" t="s">
        <v>11</v>
      </c>
      <c r="AB9" s="20" t="s">
        <v>11</v>
      </c>
      <c r="AC9" s="20" t="s">
        <v>12</v>
      </c>
      <c r="AD9" s="20" t="s">
        <v>11</v>
      </c>
      <c r="AE9" s="20" t="s">
        <v>11</v>
      </c>
      <c r="AF9" s="20" t="s">
        <v>11</v>
      </c>
      <c r="AG9" s="20" t="s">
        <v>11</v>
      </c>
      <c r="AH9" s="13">
        <f t="shared" si="0"/>
        <v>0.7</v>
      </c>
    </row>
    <row r="10" spans="1:43" ht="15.75" customHeight="1" x14ac:dyDescent="0.25">
      <c r="A10" s="177" t="s">
        <v>14</v>
      </c>
      <c r="B10" s="178"/>
      <c r="C10" s="179"/>
      <c r="D10" s="80" t="s">
        <v>12</v>
      </c>
      <c r="E10" s="80" t="s">
        <v>12</v>
      </c>
      <c r="F10" s="16" t="s">
        <v>11</v>
      </c>
      <c r="G10" s="16" t="s">
        <v>11</v>
      </c>
      <c r="H10" s="16" t="s">
        <v>11</v>
      </c>
      <c r="I10" s="16" t="s">
        <v>11</v>
      </c>
      <c r="J10" s="16" t="s">
        <v>11</v>
      </c>
      <c r="K10" s="16" t="s">
        <v>11</v>
      </c>
      <c r="L10" s="16" t="s">
        <v>11</v>
      </c>
      <c r="M10" s="16" t="s">
        <v>11</v>
      </c>
      <c r="N10" s="16" t="s">
        <v>11</v>
      </c>
      <c r="O10" s="16" t="s">
        <v>11</v>
      </c>
      <c r="P10" s="16" t="s">
        <v>11</v>
      </c>
      <c r="Q10" s="16" t="s">
        <v>11</v>
      </c>
      <c r="R10" s="16" t="s">
        <v>11</v>
      </c>
      <c r="S10" s="16" t="s">
        <v>12</v>
      </c>
      <c r="T10" s="16" t="s">
        <v>12</v>
      </c>
      <c r="U10" s="16" t="s">
        <v>12</v>
      </c>
      <c r="V10" s="16" t="s">
        <v>12</v>
      </c>
      <c r="W10" s="16" t="s">
        <v>12</v>
      </c>
      <c r="X10" s="16" t="s">
        <v>12</v>
      </c>
      <c r="Y10" s="16" t="s">
        <v>11</v>
      </c>
      <c r="Z10" s="16" t="s">
        <v>11</v>
      </c>
      <c r="AA10" s="16" t="s">
        <v>11</v>
      </c>
      <c r="AB10" s="16" t="s">
        <v>11</v>
      </c>
      <c r="AC10" s="16" t="s">
        <v>12</v>
      </c>
      <c r="AD10" s="16" t="s">
        <v>11</v>
      </c>
      <c r="AE10" s="16" t="s">
        <v>11</v>
      </c>
      <c r="AF10" s="16" t="s">
        <v>11</v>
      </c>
      <c r="AG10" s="16" t="s">
        <v>11</v>
      </c>
      <c r="AH10" s="21">
        <f t="shared" si="0"/>
        <v>0.7</v>
      </c>
    </row>
    <row r="11" spans="1:43" ht="15.75" customHeight="1" x14ac:dyDescent="0.25">
      <c r="A11" s="177" t="s">
        <v>15</v>
      </c>
      <c r="B11" s="178"/>
      <c r="C11" s="179"/>
      <c r="D11" s="80" t="s">
        <v>12</v>
      </c>
      <c r="E11" s="80" t="s">
        <v>12</v>
      </c>
      <c r="F11" s="16" t="s">
        <v>11</v>
      </c>
      <c r="G11" s="16" t="s">
        <v>11</v>
      </c>
      <c r="H11" s="16" t="s">
        <v>11</v>
      </c>
      <c r="I11" s="16" t="s">
        <v>11</v>
      </c>
      <c r="J11" s="16" t="s">
        <v>11</v>
      </c>
      <c r="K11" s="16" t="s">
        <v>11</v>
      </c>
      <c r="L11" s="16" t="s">
        <v>11</v>
      </c>
      <c r="M11" s="16" t="s">
        <v>11</v>
      </c>
      <c r="N11" s="16" t="s">
        <v>11</v>
      </c>
      <c r="O11" s="16" t="s">
        <v>11</v>
      </c>
      <c r="P11" s="16" t="s">
        <v>11</v>
      </c>
      <c r="Q11" s="16" t="s">
        <v>11</v>
      </c>
      <c r="R11" s="16" t="s">
        <v>11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11</v>
      </c>
      <c r="Z11" s="16" t="s">
        <v>11</v>
      </c>
      <c r="AA11" s="16" t="s">
        <v>11</v>
      </c>
      <c r="AB11" s="16" t="s">
        <v>11</v>
      </c>
      <c r="AC11" s="16" t="s">
        <v>12</v>
      </c>
      <c r="AD11" s="16" t="s">
        <v>11</v>
      </c>
      <c r="AE11" s="16" t="s">
        <v>11</v>
      </c>
      <c r="AF11" s="16" t="s">
        <v>11</v>
      </c>
      <c r="AG11" s="16" t="s">
        <v>11</v>
      </c>
      <c r="AH11" s="21">
        <f t="shared" si="0"/>
        <v>0.7</v>
      </c>
    </row>
    <row r="12" spans="1:43" ht="15.75" customHeight="1" x14ac:dyDescent="0.25">
      <c r="A12" s="177" t="s">
        <v>16</v>
      </c>
      <c r="B12" s="178"/>
      <c r="C12" s="179"/>
      <c r="D12" s="80" t="s">
        <v>12</v>
      </c>
      <c r="E12" s="80" t="s">
        <v>12</v>
      </c>
      <c r="F12" s="16" t="s">
        <v>11</v>
      </c>
      <c r="G12" s="16" t="s">
        <v>11</v>
      </c>
      <c r="H12" s="16" t="s">
        <v>11</v>
      </c>
      <c r="I12" s="16" t="s">
        <v>11</v>
      </c>
      <c r="J12" s="16" t="s">
        <v>11</v>
      </c>
      <c r="K12" s="16" t="s">
        <v>11</v>
      </c>
      <c r="L12" s="16" t="s">
        <v>11</v>
      </c>
      <c r="M12" s="16" t="s">
        <v>11</v>
      </c>
      <c r="N12" s="16" t="s">
        <v>11</v>
      </c>
      <c r="O12" s="16" t="s">
        <v>11</v>
      </c>
      <c r="P12" s="16" t="s">
        <v>11</v>
      </c>
      <c r="Q12" s="16" t="s">
        <v>11</v>
      </c>
      <c r="R12" s="16" t="s">
        <v>11</v>
      </c>
      <c r="S12" s="16" t="s">
        <v>12</v>
      </c>
      <c r="T12" s="16" t="s">
        <v>12</v>
      </c>
      <c r="U12" s="16" t="s">
        <v>12</v>
      </c>
      <c r="V12" s="16" t="s">
        <v>12</v>
      </c>
      <c r="W12" s="16" t="s">
        <v>12</v>
      </c>
      <c r="X12" s="16" t="s">
        <v>12</v>
      </c>
      <c r="Y12" s="16" t="s">
        <v>11</v>
      </c>
      <c r="Z12" s="16" t="s">
        <v>11</v>
      </c>
      <c r="AA12" s="16" t="s">
        <v>11</v>
      </c>
      <c r="AB12" s="16" t="s">
        <v>11</v>
      </c>
      <c r="AC12" s="16" t="s">
        <v>12</v>
      </c>
      <c r="AD12" s="16" t="s">
        <v>11</v>
      </c>
      <c r="AE12" s="16" t="s">
        <v>11</v>
      </c>
      <c r="AF12" s="16" t="s">
        <v>11</v>
      </c>
      <c r="AG12" s="16" t="s">
        <v>11</v>
      </c>
      <c r="AH12" s="21">
        <f t="shared" si="0"/>
        <v>0.7</v>
      </c>
    </row>
    <row r="13" spans="1:43" ht="15.75" customHeight="1" x14ac:dyDescent="0.25">
      <c r="A13" s="177" t="s">
        <v>17</v>
      </c>
      <c r="B13" s="178"/>
      <c r="C13" s="179"/>
      <c r="D13" s="80" t="s">
        <v>12</v>
      </c>
      <c r="E13" s="80" t="s">
        <v>12</v>
      </c>
      <c r="F13" s="16" t="s">
        <v>11</v>
      </c>
      <c r="G13" s="16" t="s">
        <v>11</v>
      </c>
      <c r="H13" s="16" t="s">
        <v>11</v>
      </c>
      <c r="I13" s="16" t="s">
        <v>11</v>
      </c>
      <c r="J13" s="16" t="s">
        <v>11</v>
      </c>
      <c r="K13" s="16" t="s">
        <v>11</v>
      </c>
      <c r="L13" s="16" t="s">
        <v>11</v>
      </c>
      <c r="M13" s="16" t="s">
        <v>11</v>
      </c>
      <c r="N13" s="16" t="s">
        <v>11</v>
      </c>
      <c r="O13" s="16" t="s">
        <v>11</v>
      </c>
      <c r="P13" s="16" t="s">
        <v>11</v>
      </c>
      <c r="Q13" s="16" t="s">
        <v>11</v>
      </c>
      <c r="R13" s="16" t="s">
        <v>11</v>
      </c>
      <c r="S13" s="16" t="s">
        <v>12</v>
      </c>
      <c r="T13" s="16" t="s">
        <v>12</v>
      </c>
      <c r="U13" s="16" t="s">
        <v>12</v>
      </c>
      <c r="V13" s="16" t="s">
        <v>12</v>
      </c>
      <c r="W13" s="16" t="s">
        <v>12</v>
      </c>
      <c r="X13" s="16" t="s">
        <v>12</v>
      </c>
      <c r="Y13" s="16" t="s">
        <v>11</v>
      </c>
      <c r="Z13" s="16" t="s">
        <v>11</v>
      </c>
      <c r="AA13" s="16" t="s">
        <v>11</v>
      </c>
      <c r="AB13" s="16" t="s">
        <v>11</v>
      </c>
      <c r="AC13" s="16" t="s">
        <v>12</v>
      </c>
      <c r="AD13" s="16" t="s">
        <v>11</v>
      </c>
      <c r="AE13" s="16" t="s">
        <v>11</v>
      </c>
      <c r="AF13" s="16" t="s">
        <v>11</v>
      </c>
      <c r="AG13" s="16" t="s">
        <v>11</v>
      </c>
      <c r="AH13" s="21">
        <f t="shared" si="0"/>
        <v>0.7</v>
      </c>
    </row>
    <row r="14" spans="1:43" ht="15.75" customHeight="1" x14ac:dyDescent="0.25">
      <c r="A14" s="180" t="s">
        <v>18</v>
      </c>
      <c r="B14" s="181"/>
      <c r="C14" s="182"/>
      <c r="D14" s="73" t="s">
        <v>12</v>
      </c>
      <c r="E14" s="73" t="s">
        <v>12</v>
      </c>
      <c r="F14" s="15" t="s">
        <v>11</v>
      </c>
      <c r="G14" s="15" t="s">
        <v>11</v>
      </c>
      <c r="H14" s="15" t="s">
        <v>11</v>
      </c>
      <c r="I14" s="15" t="s">
        <v>11</v>
      </c>
      <c r="J14" s="15" t="s">
        <v>11</v>
      </c>
      <c r="K14" s="15" t="s">
        <v>11</v>
      </c>
      <c r="L14" s="15" t="s">
        <v>11</v>
      </c>
      <c r="M14" s="15" t="s">
        <v>11</v>
      </c>
      <c r="N14" s="15" t="s">
        <v>11</v>
      </c>
      <c r="O14" s="73" t="s">
        <v>11</v>
      </c>
      <c r="P14" s="73" t="s">
        <v>11</v>
      </c>
      <c r="Q14" s="73" t="s">
        <v>11</v>
      </c>
      <c r="R14" s="73" t="s">
        <v>11</v>
      </c>
      <c r="S14" s="73" t="s">
        <v>12</v>
      </c>
      <c r="T14" s="73" t="s">
        <v>12</v>
      </c>
      <c r="U14" s="73" t="s">
        <v>12</v>
      </c>
      <c r="V14" s="73" t="s">
        <v>12</v>
      </c>
      <c r="W14" s="73" t="s">
        <v>12</v>
      </c>
      <c r="X14" s="73" t="s">
        <v>12</v>
      </c>
      <c r="Y14" s="73" t="s">
        <v>11</v>
      </c>
      <c r="Z14" s="73" t="s">
        <v>11</v>
      </c>
      <c r="AA14" s="73" t="s">
        <v>11</v>
      </c>
      <c r="AB14" s="73" t="s">
        <v>11</v>
      </c>
      <c r="AC14" s="73" t="s">
        <v>12</v>
      </c>
      <c r="AD14" s="73" t="s">
        <v>11</v>
      </c>
      <c r="AE14" s="73" t="s">
        <v>11</v>
      </c>
      <c r="AF14" s="73" t="s">
        <v>11</v>
      </c>
      <c r="AG14" s="73" t="s">
        <v>11</v>
      </c>
      <c r="AH14" s="17">
        <f t="shared" si="0"/>
        <v>0.7</v>
      </c>
    </row>
    <row r="15" spans="1:43" ht="15.75" customHeight="1" x14ac:dyDescent="0.25">
      <c r="A15" s="174" t="s">
        <v>19</v>
      </c>
      <c r="B15" s="175"/>
      <c r="C15" s="176"/>
      <c r="D15" s="20" t="s">
        <v>12</v>
      </c>
      <c r="E15" s="20" t="s">
        <v>12</v>
      </c>
      <c r="F15" s="20" t="s">
        <v>11</v>
      </c>
      <c r="G15" s="20" t="s">
        <v>11</v>
      </c>
      <c r="H15" s="20" t="s">
        <v>11</v>
      </c>
      <c r="I15" s="20" t="s">
        <v>11</v>
      </c>
      <c r="J15" s="20" t="s">
        <v>11</v>
      </c>
      <c r="K15" s="20" t="s">
        <v>11</v>
      </c>
      <c r="L15" s="20" t="s">
        <v>11</v>
      </c>
      <c r="M15" s="20" t="s">
        <v>11</v>
      </c>
      <c r="N15" s="20" t="s">
        <v>11</v>
      </c>
      <c r="O15" s="20" t="s">
        <v>11</v>
      </c>
      <c r="P15" s="20" t="s">
        <v>11</v>
      </c>
      <c r="Q15" s="20" t="s">
        <v>11</v>
      </c>
      <c r="R15" s="20" t="s">
        <v>11</v>
      </c>
      <c r="S15" s="20" t="s">
        <v>12</v>
      </c>
      <c r="T15" s="20" t="s">
        <v>12</v>
      </c>
      <c r="U15" s="20" t="s">
        <v>12</v>
      </c>
      <c r="V15" s="20" t="s">
        <v>12</v>
      </c>
      <c r="W15" s="20" t="s">
        <v>12</v>
      </c>
      <c r="X15" s="20" t="s">
        <v>12</v>
      </c>
      <c r="Y15" s="20" t="s">
        <v>11</v>
      </c>
      <c r="Z15" s="20" t="s">
        <v>11</v>
      </c>
      <c r="AA15" s="20" t="s">
        <v>11</v>
      </c>
      <c r="AB15" s="20" t="s">
        <v>11</v>
      </c>
      <c r="AC15" s="20" t="s">
        <v>11</v>
      </c>
      <c r="AD15" s="20" t="s">
        <v>12</v>
      </c>
      <c r="AE15" s="20" t="s">
        <v>12</v>
      </c>
      <c r="AF15" s="20" t="s">
        <v>12</v>
      </c>
      <c r="AG15" s="20" t="s">
        <v>12</v>
      </c>
      <c r="AH15" s="13">
        <f t="shared" si="0"/>
        <v>0.6</v>
      </c>
    </row>
    <row r="16" spans="1:43" ht="15.75" customHeight="1" x14ac:dyDescent="0.25">
      <c r="A16" s="177" t="s">
        <v>20</v>
      </c>
      <c r="B16" s="178"/>
      <c r="C16" s="179"/>
      <c r="D16" s="16" t="s">
        <v>12</v>
      </c>
      <c r="E16" s="16" t="s">
        <v>11</v>
      </c>
      <c r="F16" s="16" t="s">
        <v>11</v>
      </c>
      <c r="G16" s="16" t="s">
        <v>11</v>
      </c>
      <c r="H16" s="16" t="s">
        <v>11</v>
      </c>
      <c r="I16" s="16" t="s">
        <v>11</v>
      </c>
      <c r="J16" s="16" t="s">
        <v>11</v>
      </c>
      <c r="K16" s="16" t="s">
        <v>11</v>
      </c>
      <c r="L16" s="16" t="s">
        <v>11</v>
      </c>
      <c r="M16" s="16" t="s">
        <v>11</v>
      </c>
      <c r="N16" s="16" t="s">
        <v>11</v>
      </c>
      <c r="O16" s="16" t="s">
        <v>11</v>
      </c>
      <c r="P16" s="16" t="s">
        <v>11</v>
      </c>
      <c r="Q16" s="16" t="s">
        <v>11</v>
      </c>
      <c r="R16" s="16" t="s">
        <v>11</v>
      </c>
      <c r="S16" s="16" t="s">
        <v>12</v>
      </c>
      <c r="T16" s="16" t="s">
        <v>12</v>
      </c>
      <c r="U16" s="16" t="s">
        <v>12</v>
      </c>
      <c r="V16" s="16" t="s">
        <v>12</v>
      </c>
      <c r="W16" s="16" t="s">
        <v>12</v>
      </c>
      <c r="X16" s="16" t="s">
        <v>12</v>
      </c>
      <c r="Y16" s="16" t="s">
        <v>11</v>
      </c>
      <c r="Z16" s="16" t="s">
        <v>11</v>
      </c>
      <c r="AA16" s="16" t="s">
        <v>11</v>
      </c>
      <c r="AB16" s="16" t="s">
        <v>11</v>
      </c>
      <c r="AC16" s="16" t="s">
        <v>11</v>
      </c>
      <c r="AD16" s="16" t="s">
        <v>12</v>
      </c>
      <c r="AE16" s="16" t="s">
        <v>12</v>
      </c>
      <c r="AF16" s="16" t="s">
        <v>12</v>
      </c>
      <c r="AG16" s="16" t="s">
        <v>12</v>
      </c>
      <c r="AH16" s="21">
        <f t="shared" si="0"/>
        <v>0.6333333333333333</v>
      </c>
    </row>
    <row r="17" spans="1:34" ht="15.75" customHeight="1" x14ac:dyDescent="0.25">
      <c r="A17" s="180" t="s">
        <v>92</v>
      </c>
      <c r="B17" s="181"/>
      <c r="C17" s="182"/>
      <c r="D17" s="16" t="s">
        <v>12</v>
      </c>
      <c r="E17" s="16" t="s">
        <v>12</v>
      </c>
      <c r="F17" s="16" t="s">
        <v>11</v>
      </c>
      <c r="G17" s="16" t="s">
        <v>11</v>
      </c>
      <c r="H17" s="16" t="s">
        <v>11</v>
      </c>
      <c r="I17" s="16" t="s">
        <v>11</v>
      </c>
      <c r="J17" s="16" t="s">
        <v>11</v>
      </c>
      <c r="K17" s="16" t="s">
        <v>11</v>
      </c>
      <c r="L17" s="16" t="s">
        <v>11</v>
      </c>
      <c r="M17" s="16" t="s">
        <v>11</v>
      </c>
      <c r="N17" s="16" t="s">
        <v>11</v>
      </c>
      <c r="O17" s="16" t="s">
        <v>11</v>
      </c>
      <c r="P17" s="16" t="s">
        <v>11</v>
      </c>
      <c r="Q17" s="16" t="s">
        <v>11</v>
      </c>
      <c r="R17" s="16" t="s">
        <v>11</v>
      </c>
      <c r="S17" s="16" t="s">
        <v>12</v>
      </c>
      <c r="T17" s="16" t="s">
        <v>12</v>
      </c>
      <c r="U17" s="16" t="s">
        <v>12</v>
      </c>
      <c r="V17" s="16" t="s">
        <v>12</v>
      </c>
      <c r="W17" s="16" t="s">
        <v>12</v>
      </c>
      <c r="X17" s="16" t="s">
        <v>12</v>
      </c>
      <c r="Y17" s="16" t="s">
        <v>11</v>
      </c>
      <c r="Z17" s="16" t="s">
        <v>11</v>
      </c>
      <c r="AA17" s="16" t="s">
        <v>11</v>
      </c>
      <c r="AB17" s="16" t="s">
        <v>11</v>
      </c>
      <c r="AC17" s="16" t="s">
        <v>11</v>
      </c>
      <c r="AD17" s="16" t="s">
        <v>12</v>
      </c>
      <c r="AE17" s="16" t="s">
        <v>12</v>
      </c>
      <c r="AF17" s="16" t="s">
        <v>12</v>
      </c>
      <c r="AG17" s="16" t="s">
        <v>12</v>
      </c>
      <c r="AH17" s="17">
        <f t="shared" si="0"/>
        <v>0.6</v>
      </c>
    </row>
    <row r="18" spans="1:34" ht="15.75" customHeight="1" x14ac:dyDescent="0.25">
      <c r="A18" s="174" t="s">
        <v>21</v>
      </c>
      <c r="B18" s="175"/>
      <c r="C18" s="176"/>
      <c r="D18" s="79" t="s">
        <v>22</v>
      </c>
      <c r="E18" s="79" t="s">
        <v>11</v>
      </c>
      <c r="F18" s="79" t="s">
        <v>11</v>
      </c>
      <c r="G18" s="79" t="s">
        <v>11</v>
      </c>
      <c r="H18" s="79" t="s">
        <v>11</v>
      </c>
      <c r="I18" s="79" t="s">
        <v>11</v>
      </c>
      <c r="J18" s="79" t="s">
        <v>11</v>
      </c>
      <c r="K18" s="79" t="s">
        <v>11</v>
      </c>
      <c r="L18" s="79" t="s">
        <v>11</v>
      </c>
      <c r="M18" s="79" t="s">
        <v>11</v>
      </c>
      <c r="N18" s="79" t="s">
        <v>11</v>
      </c>
      <c r="O18" s="79" t="s">
        <v>11</v>
      </c>
      <c r="P18" s="79" t="s">
        <v>11</v>
      </c>
      <c r="Q18" s="79" t="s">
        <v>11</v>
      </c>
      <c r="R18" s="79" t="s">
        <v>11</v>
      </c>
      <c r="S18" s="22" t="s">
        <v>12</v>
      </c>
      <c r="T18" s="22" t="s">
        <v>12</v>
      </c>
      <c r="U18" s="22" t="s">
        <v>12</v>
      </c>
      <c r="V18" s="22" t="s">
        <v>12</v>
      </c>
      <c r="W18" s="22" t="s">
        <v>22</v>
      </c>
      <c r="X18" s="22" t="s">
        <v>22</v>
      </c>
      <c r="Y18" s="22" t="s">
        <v>11</v>
      </c>
      <c r="Z18" s="22" t="s">
        <v>11</v>
      </c>
      <c r="AA18" s="22" t="s">
        <v>11</v>
      </c>
      <c r="AB18" s="22" t="s">
        <v>11</v>
      </c>
      <c r="AC18" s="22" t="s">
        <v>22</v>
      </c>
      <c r="AD18" s="22" t="s">
        <v>22</v>
      </c>
      <c r="AE18" s="22" t="s">
        <v>12</v>
      </c>
      <c r="AF18" s="22" t="s">
        <v>12</v>
      </c>
      <c r="AG18" s="22" t="s">
        <v>12</v>
      </c>
      <c r="AH18" s="13">
        <f t="shared" si="0"/>
        <v>0.76666666666666672</v>
      </c>
    </row>
    <row r="19" spans="1:34" ht="15.75" customHeight="1" x14ac:dyDescent="0.25">
      <c r="A19" s="177" t="s">
        <v>23</v>
      </c>
      <c r="B19" s="178"/>
      <c r="C19" s="179"/>
      <c r="D19" s="16" t="s">
        <v>22</v>
      </c>
      <c r="E19" s="16" t="s">
        <v>11</v>
      </c>
      <c r="F19" s="16" t="s">
        <v>11</v>
      </c>
      <c r="G19" s="16" t="s">
        <v>11</v>
      </c>
      <c r="H19" s="16" t="s">
        <v>11</v>
      </c>
      <c r="I19" s="16" t="s">
        <v>11</v>
      </c>
      <c r="J19" s="16" t="s">
        <v>11</v>
      </c>
      <c r="K19" s="16" t="s">
        <v>11</v>
      </c>
      <c r="L19" s="16" t="s">
        <v>11</v>
      </c>
      <c r="M19" s="16" t="s">
        <v>11</v>
      </c>
      <c r="N19" s="16" t="s">
        <v>11</v>
      </c>
      <c r="O19" s="80" t="s">
        <v>11</v>
      </c>
      <c r="P19" s="80" t="s">
        <v>11</v>
      </c>
      <c r="Q19" s="80" t="s">
        <v>11</v>
      </c>
      <c r="R19" s="80" t="s">
        <v>11</v>
      </c>
      <c r="S19" s="23" t="s">
        <v>12</v>
      </c>
      <c r="T19" s="23" t="s">
        <v>12</v>
      </c>
      <c r="U19" s="23" t="s">
        <v>12</v>
      </c>
      <c r="V19" s="23" t="s">
        <v>12</v>
      </c>
      <c r="W19" s="23" t="s">
        <v>22</v>
      </c>
      <c r="X19" s="23" t="s">
        <v>22</v>
      </c>
      <c r="Y19" s="23" t="s">
        <v>11</v>
      </c>
      <c r="Z19" s="23" t="s">
        <v>11</v>
      </c>
      <c r="AA19" s="23" t="s">
        <v>11</v>
      </c>
      <c r="AB19" s="23" t="s">
        <v>11</v>
      </c>
      <c r="AC19" s="23" t="s">
        <v>22</v>
      </c>
      <c r="AD19" s="23" t="s">
        <v>22</v>
      </c>
      <c r="AE19" s="23" t="s">
        <v>12</v>
      </c>
      <c r="AF19" s="23" t="s">
        <v>12</v>
      </c>
      <c r="AG19" s="23" t="s">
        <v>12</v>
      </c>
      <c r="AH19" s="21">
        <f t="shared" si="0"/>
        <v>0.76666666666666672</v>
      </c>
    </row>
    <row r="20" spans="1:34" ht="15.75" customHeight="1" x14ac:dyDescent="0.25">
      <c r="A20" s="177" t="s">
        <v>24</v>
      </c>
      <c r="B20" s="178"/>
      <c r="C20" s="179"/>
      <c r="D20" s="16" t="s">
        <v>22</v>
      </c>
      <c r="E20" s="16" t="s">
        <v>11</v>
      </c>
      <c r="F20" s="16" t="s">
        <v>11</v>
      </c>
      <c r="G20" s="16" t="s">
        <v>11</v>
      </c>
      <c r="H20" s="16" t="s">
        <v>11</v>
      </c>
      <c r="I20" s="16" t="s">
        <v>11</v>
      </c>
      <c r="J20" s="16" t="s">
        <v>11</v>
      </c>
      <c r="K20" s="16" t="s">
        <v>11</v>
      </c>
      <c r="L20" s="16" t="s">
        <v>11</v>
      </c>
      <c r="M20" s="16" t="s">
        <v>11</v>
      </c>
      <c r="N20" s="16" t="s">
        <v>11</v>
      </c>
      <c r="O20" s="80" t="s">
        <v>11</v>
      </c>
      <c r="P20" s="80" t="s">
        <v>11</v>
      </c>
      <c r="Q20" s="80" t="s">
        <v>11</v>
      </c>
      <c r="R20" s="80" t="s">
        <v>11</v>
      </c>
      <c r="S20" s="23" t="s">
        <v>12</v>
      </c>
      <c r="T20" s="23" t="s">
        <v>12</v>
      </c>
      <c r="U20" s="23" t="s">
        <v>12</v>
      </c>
      <c r="V20" s="23" t="s">
        <v>12</v>
      </c>
      <c r="W20" s="23" t="s">
        <v>22</v>
      </c>
      <c r="X20" s="23" t="s">
        <v>22</v>
      </c>
      <c r="Y20" s="23" t="s">
        <v>11</v>
      </c>
      <c r="Z20" s="23" t="s">
        <v>11</v>
      </c>
      <c r="AA20" s="23" t="s">
        <v>11</v>
      </c>
      <c r="AB20" s="23" t="s">
        <v>11</v>
      </c>
      <c r="AC20" s="23" t="s">
        <v>22</v>
      </c>
      <c r="AD20" s="23" t="s">
        <v>22</v>
      </c>
      <c r="AE20" s="23" t="s">
        <v>12</v>
      </c>
      <c r="AF20" s="23" t="s">
        <v>12</v>
      </c>
      <c r="AG20" s="23" t="s">
        <v>12</v>
      </c>
      <c r="AH20" s="21">
        <f t="shared" si="0"/>
        <v>0.76666666666666672</v>
      </c>
    </row>
    <row r="21" spans="1:34" ht="15.75" customHeight="1" x14ac:dyDescent="0.25">
      <c r="A21" s="180" t="s">
        <v>25</v>
      </c>
      <c r="B21" s="181"/>
      <c r="C21" s="182"/>
      <c r="D21" s="73" t="s">
        <v>22</v>
      </c>
      <c r="E21" s="73" t="s">
        <v>11</v>
      </c>
      <c r="F21" s="73" t="s">
        <v>11</v>
      </c>
      <c r="G21" s="73" t="s">
        <v>11</v>
      </c>
      <c r="H21" s="73" t="s">
        <v>11</v>
      </c>
      <c r="I21" s="73" t="s">
        <v>11</v>
      </c>
      <c r="J21" s="73" t="s">
        <v>11</v>
      </c>
      <c r="K21" s="73" t="s">
        <v>11</v>
      </c>
      <c r="L21" s="73" t="s">
        <v>11</v>
      </c>
      <c r="M21" s="73" t="s">
        <v>11</v>
      </c>
      <c r="N21" s="73" t="s">
        <v>11</v>
      </c>
      <c r="O21" s="73" t="s">
        <v>11</v>
      </c>
      <c r="P21" s="73" t="s">
        <v>11</v>
      </c>
      <c r="Q21" s="73" t="s">
        <v>11</v>
      </c>
      <c r="R21" s="73" t="s">
        <v>11</v>
      </c>
      <c r="S21" s="14" t="s">
        <v>12</v>
      </c>
      <c r="T21" s="14" t="s">
        <v>12</v>
      </c>
      <c r="U21" s="14" t="s">
        <v>12</v>
      </c>
      <c r="V21" s="14" t="s">
        <v>12</v>
      </c>
      <c r="W21" s="14" t="s">
        <v>22</v>
      </c>
      <c r="X21" s="14" t="s">
        <v>22</v>
      </c>
      <c r="Y21" s="14" t="s">
        <v>11</v>
      </c>
      <c r="Z21" s="14" t="s">
        <v>11</v>
      </c>
      <c r="AA21" s="14" t="s">
        <v>11</v>
      </c>
      <c r="AB21" s="14" t="s">
        <v>11</v>
      </c>
      <c r="AC21" s="14" t="s">
        <v>22</v>
      </c>
      <c r="AD21" s="14" t="s">
        <v>22</v>
      </c>
      <c r="AE21" s="14" t="s">
        <v>12</v>
      </c>
      <c r="AF21" s="14" t="s">
        <v>12</v>
      </c>
      <c r="AG21" s="14" t="s">
        <v>12</v>
      </c>
      <c r="AH21" s="17">
        <f t="shared" si="0"/>
        <v>0.76666666666666672</v>
      </c>
    </row>
    <row r="22" spans="1:34" ht="15.75" customHeight="1" x14ac:dyDescent="0.25">
      <c r="A22" s="162" t="s">
        <v>26</v>
      </c>
      <c r="B22" s="163"/>
      <c r="C22" s="164"/>
      <c r="D22" s="81" t="s">
        <v>12</v>
      </c>
      <c r="E22" s="81" t="s">
        <v>12</v>
      </c>
      <c r="F22" s="81" t="s">
        <v>22</v>
      </c>
      <c r="G22" s="81" t="s">
        <v>22</v>
      </c>
      <c r="H22" s="81" t="s">
        <v>22</v>
      </c>
      <c r="I22" s="81" t="s">
        <v>22</v>
      </c>
      <c r="J22" s="81" t="s">
        <v>11</v>
      </c>
      <c r="K22" s="81" t="s">
        <v>11</v>
      </c>
      <c r="L22" s="81" t="s">
        <v>11</v>
      </c>
      <c r="M22" s="81" t="s">
        <v>22</v>
      </c>
      <c r="N22" s="81" t="s">
        <v>12</v>
      </c>
      <c r="O22" s="24" t="s">
        <v>12</v>
      </c>
      <c r="P22" s="24" t="s">
        <v>12</v>
      </c>
      <c r="Q22" s="24" t="s">
        <v>12</v>
      </c>
      <c r="R22" s="24" t="s">
        <v>12</v>
      </c>
      <c r="S22" s="24" t="s">
        <v>12</v>
      </c>
      <c r="T22" s="24" t="s">
        <v>12</v>
      </c>
      <c r="U22" s="24" t="s">
        <v>12</v>
      </c>
      <c r="V22" s="24" t="s">
        <v>12</v>
      </c>
      <c r="W22" s="24" t="s">
        <v>12</v>
      </c>
      <c r="X22" s="24" t="s">
        <v>12</v>
      </c>
      <c r="Y22" s="24" t="s">
        <v>22</v>
      </c>
      <c r="Z22" s="24" t="s">
        <v>22</v>
      </c>
      <c r="AA22" s="24" t="s">
        <v>22</v>
      </c>
      <c r="AB22" s="24" t="s">
        <v>12</v>
      </c>
      <c r="AC22" s="24" t="s">
        <v>12</v>
      </c>
      <c r="AD22" s="24" t="s">
        <v>12</v>
      </c>
      <c r="AE22" s="24" t="s">
        <v>12</v>
      </c>
      <c r="AF22" s="24" t="s">
        <v>12</v>
      </c>
      <c r="AG22" s="24" t="s">
        <v>12</v>
      </c>
      <c r="AH22" s="19">
        <f t="shared" si="0"/>
        <v>0.36666666666666664</v>
      </c>
    </row>
    <row r="23" spans="1:34" ht="15.75" customHeight="1" x14ac:dyDescent="0.25">
      <c r="A23" s="174" t="s">
        <v>27</v>
      </c>
      <c r="B23" s="175"/>
      <c r="C23" s="176"/>
      <c r="D23" s="22" t="s">
        <v>12</v>
      </c>
      <c r="E23" s="22" t="s">
        <v>12</v>
      </c>
      <c r="F23" s="22" t="s">
        <v>12</v>
      </c>
      <c r="G23" s="22" t="s">
        <v>11</v>
      </c>
      <c r="H23" s="22" t="s">
        <v>11</v>
      </c>
      <c r="I23" s="22" t="s">
        <v>11</v>
      </c>
      <c r="J23" s="22" t="s">
        <v>11</v>
      </c>
      <c r="K23" s="22" t="s">
        <v>11</v>
      </c>
      <c r="L23" s="22" t="s">
        <v>11</v>
      </c>
      <c r="M23" s="22" t="s">
        <v>11</v>
      </c>
      <c r="N23" s="22" t="s">
        <v>11</v>
      </c>
      <c r="O23" s="79" t="s">
        <v>12</v>
      </c>
      <c r="P23" s="79" t="s">
        <v>12</v>
      </c>
      <c r="Q23" s="79" t="s">
        <v>12</v>
      </c>
      <c r="R23" s="79" t="s">
        <v>12</v>
      </c>
      <c r="S23" s="79" t="s">
        <v>12</v>
      </c>
      <c r="T23" s="79" t="s">
        <v>12</v>
      </c>
      <c r="U23" s="79" t="s">
        <v>12</v>
      </c>
      <c r="V23" s="79" t="s">
        <v>12</v>
      </c>
      <c r="W23" s="79" t="s">
        <v>11</v>
      </c>
      <c r="X23" s="79" t="s">
        <v>11</v>
      </c>
      <c r="Y23" s="79" t="s">
        <v>11</v>
      </c>
      <c r="Z23" s="79" t="s">
        <v>11</v>
      </c>
      <c r="AA23" s="79" t="s">
        <v>11</v>
      </c>
      <c r="AB23" s="79" t="s">
        <v>11</v>
      </c>
      <c r="AC23" s="79" t="s">
        <v>12</v>
      </c>
      <c r="AD23" s="79" t="s">
        <v>12</v>
      </c>
      <c r="AE23" s="79" t="s">
        <v>12</v>
      </c>
      <c r="AF23" s="79" t="s">
        <v>11</v>
      </c>
      <c r="AG23" s="79" t="s">
        <v>11</v>
      </c>
      <c r="AH23" s="13">
        <f t="shared" si="0"/>
        <v>0.53333333333333333</v>
      </c>
    </row>
    <row r="24" spans="1:34" ht="15.75" customHeight="1" x14ac:dyDescent="0.25">
      <c r="A24" s="180" t="s">
        <v>28</v>
      </c>
      <c r="B24" s="181"/>
      <c r="C24" s="182"/>
      <c r="D24" s="14" t="s">
        <v>12</v>
      </c>
      <c r="E24" s="14" t="s">
        <v>12</v>
      </c>
      <c r="F24" s="14" t="s">
        <v>12</v>
      </c>
      <c r="G24" s="14" t="s">
        <v>11</v>
      </c>
      <c r="H24" s="14" t="s">
        <v>11</v>
      </c>
      <c r="I24" s="14" t="s">
        <v>11</v>
      </c>
      <c r="J24" s="14" t="s">
        <v>11</v>
      </c>
      <c r="K24" s="14" t="s">
        <v>11</v>
      </c>
      <c r="L24" s="14" t="s">
        <v>11</v>
      </c>
      <c r="M24" s="14" t="s">
        <v>11</v>
      </c>
      <c r="N24" s="14" t="s">
        <v>11</v>
      </c>
      <c r="O24" s="73" t="s">
        <v>12</v>
      </c>
      <c r="P24" s="73" t="s">
        <v>12</v>
      </c>
      <c r="Q24" s="73" t="s">
        <v>12</v>
      </c>
      <c r="R24" s="73" t="s">
        <v>12</v>
      </c>
      <c r="S24" s="73" t="s">
        <v>12</v>
      </c>
      <c r="T24" s="73" t="s">
        <v>12</v>
      </c>
      <c r="U24" s="73" t="s">
        <v>12</v>
      </c>
      <c r="V24" s="73" t="s">
        <v>12</v>
      </c>
      <c r="W24" s="73" t="s">
        <v>11</v>
      </c>
      <c r="X24" s="73" t="s">
        <v>11</v>
      </c>
      <c r="Y24" s="73" t="s">
        <v>11</v>
      </c>
      <c r="Z24" s="73" t="s">
        <v>11</v>
      </c>
      <c r="AA24" s="73" t="s">
        <v>11</v>
      </c>
      <c r="AB24" s="73" t="s">
        <v>11</v>
      </c>
      <c r="AC24" s="73" t="s">
        <v>12</v>
      </c>
      <c r="AD24" s="73" t="s">
        <v>12</v>
      </c>
      <c r="AE24" s="73" t="s">
        <v>12</v>
      </c>
      <c r="AF24" s="73" t="s">
        <v>11</v>
      </c>
      <c r="AG24" s="73" t="s">
        <v>11</v>
      </c>
      <c r="AH24" s="17">
        <f t="shared" si="0"/>
        <v>0.53333333333333333</v>
      </c>
    </row>
    <row r="25" spans="1:34" ht="15.75" customHeight="1" x14ac:dyDescent="0.25">
      <c r="A25" s="162" t="s">
        <v>29</v>
      </c>
      <c r="B25" s="163"/>
      <c r="C25" s="164"/>
      <c r="D25" s="81" t="s">
        <v>11</v>
      </c>
      <c r="E25" s="81" t="s">
        <v>11</v>
      </c>
      <c r="F25" s="81" t="s">
        <v>11</v>
      </c>
      <c r="G25" s="81" t="s">
        <v>11</v>
      </c>
      <c r="H25" s="81" t="s">
        <v>11</v>
      </c>
      <c r="I25" s="81" t="s">
        <v>11</v>
      </c>
      <c r="J25" s="81" t="s">
        <v>11</v>
      </c>
      <c r="K25" s="81" t="s">
        <v>11</v>
      </c>
      <c r="L25" s="81" t="s">
        <v>11</v>
      </c>
      <c r="M25" s="81" t="s">
        <v>11</v>
      </c>
      <c r="N25" s="81" t="s">
        <v>11</v>
      </c>
      <c r="O25" s="25" t="s">
        <v>11</v>
      </c>
      <c r="P25" s="25" t="s">
        <v>11</v>
      </c>
      <c r="Q25" s="25" t="s">
        <v>11</v>
      </c>
      <c r="R25" s="25" t="s">
        <v>12</v>
      </c>
      <c r="S25" s="25" t="s">
        <v>12</v>
      </c>
      <c r="T25" s="25" t="s">
        <v>12</v>
      </c>
      <c r="U25" s="25" t="s">
        <v>12</v>
      </c>
      <c r="V25" s="26" t="s">
        <v>12</v>
      </c>
      <c r="W25" s="26" t="s">
        <v>11</v>
      </c>
      <c r="X25" s="26" t="s">
        <v>11</v>
      </c>
      <c r="Y25" s="26" t="s">
        <v>11</v>
      </c>
      <c r="Z25" s="26" t="s">
        <v>11</v>
      </c>
      <c r="AA25" s="26" t="s">
        <v>11</v>
      </c>
      <c r="AB25" s="26" t="s">
        <v>11</v>
      </c>
      <c r="AC25" s="26" t="s">
        <v>22</v>
      </c>
      <c r="AD25" s="26" t="s">
        <v>22</v>
      </c>
      <c r="AE25" s="26" t="s">
        <v>12</v>
      </c>
      <c r="AF25" s="26" t="s">
        <v>12</v>
      </c>
      <c r="AG25" s="26" t="s">
        <v>12</v>
      </c>
      <c r="AH25" s="19">
        <f t="shared" si="0"/>
        <v>0.73333333333333328</v>
      </c>
    </row>
    <row r="26" spans="1:34" ht="15.75" customHeight="1" x14ac:dyDescent="0.25">
      <c r="A26" s="162" t="s">
        <v>30</v>
      </c>
      <c r="B26" s="163"/>
      <c r="C26" s="164"/>
      <c r="D26" s="81" t="s">
        <v>11</v>
      </c>
      <c r="E26" s="81" t="s">
        <v>11</v>
      </c>
      <c r="F26" s="81" t="s">
        <v>11</v>
      </c>
      <c r="G26" s="81" t="s">
        <v>11</v>
      </c>
      <c r="H26" s="81" t="s">
        <v>11</v>
      </c>
      <c r="I26" s="81" t="s">
        <v>11</v>
      </c>
      <c r="J26" s="81" t="s">
        <v>11</v>
      </c>
      <c r="K26" s="81" t="s">
        <v>11</v>
      </c>
      <c r="L26" s="81" t="s">
        <v>11</v>
      </c>
      <c r="M26" s="81" t="s">
        <v>11</v>
      </c>
      <c r="N26" s="81" t="s">
        <v>11</v>
      </c>
      <c r="O26" s="81" t="s">
        <v>11</v>
      </c>
      <c r="P26" s="81" t="s">
        <v>11</v>
      </c>
      <c r="Q26" s="81" t="s">
        <v>11</v>
      </c>
      <c r="R26" s="81" t="s">
        <v>12</v>
      </c>
      <c r="S26" s="81" t="s">
        <v>12</v>
      </c>
      <c r="T26" s="81" t="s">
        <v>12</v>
      </c>
      <c r="U26" s="81" t="s">
        <v>12</v>
      </c>
      <c r="V26" s="81" t="s">
        <v>12</v>
      </c>
      <c r="W26" s="81" t="s">
        <v>11</v>
      </c>
      <c r="X26" s="81" t="s">
        <v>11</v>
      </c>
      <c r="Y26" s="81" t="s">
        <v>11</v>
      </c>
      <c r="Z26" s="81" t="s">
        <v>11</v>
      </c>
      <c r="AA26" s="81" t="s">
        <v>11</v>
      </c>
      <c r="AB26" s="81" t="s">
        <v>11</v>
      </c>
      <c r="AC26" s="81" t="s">
        <v>22</v>
      </c>
      <c r="AD26" s="81" t="s">
        <v>22</v>
      </c>
      <c r="AE26" s="81" t="s">
        <v>12</v>
      </c>
      <c r="AF26" s="81" t="s">
        <v>12</v>
      </c>
      <c r="AG26" s="81" t="s">
        <v>12</v>
      </c>
      <c r="AH26" s="19">
        <f t="shared" si="0"/>
        <v>0.73333333333333328</v>
      </c>
    </row>
    <row r="27" spans="1:34" ht="15.75" customHeight="1" x14ac:dyDescent="0.25">
      <c r="A27" s="156" t="s">
        <v>31</v>
      </c>
      <c r="B27" s="157"/>
      <c r="C27" s="158"/>
      <c r="D27" s="72" t="s">
        <v>22</v>
      </c>
      <c r="E27" s="72" t="s">
        <v>9</v>
      </c>
      <c r="F27" s="72" t="s">
        <v>9</v>
      </c>
      <c r="G27" s="72" t="s">
        <v>9</v>
      </c>
      <c r="H27" s="72" t="s">
        <v>9</v>
      </c>
      <c r="I27" s="72" t="s">
        <v>8</v>
      </c>
      <c r="J27" s="72" t="s">
        <v>8</v>
      </c>
      <c r="K27" s="72" t="s">
        <v>8</v>
      </c>
      <c r="L27" s="72" t="s">
        <v>8</v>
      </c>
      <c r="M27" s="72" t="s">
        <v>8</v>
      </c>
      <c r="N27" s="72" t="s">
        <v>9</v>
      </c>
      <c r="O27" s="72" t="s">
        <v>9</v>
      </c>
      <c r="P27" s="72" t="s">
        <v>9</v>
      </c>
      <c r="Q27" s="72" t="s">
        <v>9</v>
      </c>
      <c r="R27" s="72" t="s">
        <v>9</v>
      </c>
      <c r="S27" s="72" t="s">
        <v>22</v>
      </c>
      <c r="T27" s="72" t="s">
        <v>12</v>
      </c>
      <c r="U27" s="72" t="s">
        <v>12</v>
      </c>
      <c r="V27" s="72" t="s">
        <v>12</v>
      </c>
      <c r="W27" s="72" t="s">
        <v>12</v>
      </c>
      <c r="X27" s="72" t="s">
        <v>22</v>
      </c>
      <c r="Y27" s="72" t="s">
        <v>9</v>
      </c>
      <c r="Z27" s="72" t="s">
        <v>8</v>
      </c>
      <c r="AA27" s="72" t="s">
        <v>9</v>
      </c>
      <c r="AB27" s="72" t="s">
        <v>9</v>
      </c>
      <c r="AC27" s="72" t="s">
        <v>22</v>
      </c>
      <c r="AD27" s="72" t="s">
        <v>12</v>
      </c>
      <c r="AE27" s="72" t="s">
        <v>12</v>
      </c>
      <c r="AF27" s="72" t="s">
        <v>12</v>
      </c>
      <c r="AG27" s="72" t="s">
        <v>12</v>
      </c>
      <c r="AH27" s="13">
        <f t="shared" si="0"/>
        <v>0.73333333333333328</v>
      </c>
    </row>
    <row r="28" spans="1:34" ht="15.75" customHeight="1" x14ac:dyDescent="0.25">
      <c r="A28" s="183" t="s">
        <v>32</v>
      </c>
      <c r="B28" s="184"/>
      <c r="C28" s="185"/>
      <c r="D28" s="82">
        <v>2</v>
      </c>
      <c r="E28" s="82">
        <v>2</v>
      </c>
      <c r="F28" s="82">
        <v>2</v>
      </c>
      <c r="G28" s="82">
        <v>2</v>
      </c>
      <c r="H28" s="82">
        <v>3</v>
      </c>
      <c r="I28" s="82">
        <v>3</v>
      </c>
      <c r="J28" s="82">
        <v>3</v>
      </c>
      <c r="K28" s="82">
        <v>4</v>
      </c>
      <c r="L28" s="82">
        <v>3</v>
      </c>
      <c r="M28" s="82">
        <v>3</v>
      </c>
      <c r="N28" s="82">
        <v>4</v>
      </c>
      <c r="O28" s="28">
        <v>3.5</v>
      </c>
      <c r="P28" s="28">
        <v>3</v>
      </c>
      <c r="Q28" s="28">
        <v>3</v>
      </c>
      <c r="R28" s="28">
        <v>3</v>
      </c>
      <c r="S28" s="28">
        <v>2</v>
      </c>
      <c r="T28" s="28">
        <v>2</v>
      </c>
      <c r="U28" s="28">
        <v>2</v>
      </c>
      <c r="V28" s="28">
        <v>2</v>
      </c>
      <c r="W28" s="28">
        <v>2</v>
      </c>
      <c r="X28" s="28">
        <v>2</v>
      </c>
      <c r="Y28" s="28">
        <v>3</v>
      </c>
      <c r="Z28" s="28">
        <v>3</v>
      </c>
      <c r="AA28" s="28">
        <v>3</v>
      </c>
      <c r="AB28" s="28">
        <v>3</v>
      </c>
      <c r="AC28" s="28">
        <v>2</v>
      </c>
      <c r="AD28" s="28">
        <v>2</v>
      </c>
      <c r="AE28" s="28">
        <v>2</v>
      </c>
      <c r="AF28" s="28">
        <v>2</v>
      </c>
      <c r="AG28" s="82">
        <v>2</v>
      </c>
      <c r="AH28" s="17">
        <f t="shared" si="0"/>
        <v>1</v>
      </c>
    </row>
    <row r="29" spans="1:34" ht="15.75" customHeight="1" x14ac:dyDescent="0.25">
      <c r="A29" s="171" t="s">
        <v>97</v>
      </c>
      <c r="B29" s="172"/>
      <c r="C29" s="173"/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2.4</v>
      </c>
      <c r="J29" s="29">
        <v>2.5</v>
      </c>
      <c r="K29" s="29">
        <v>0</v>
      </c>
      <c r="L29" s="29">
        <v>1.9</v>
      </c>
      <c r="M29" s="29">
        <v>10.1</v>
      </c>
      <c r="N29" s="29">
        <v>0.1</v>
      </c>
      <c r="O29" s="83">
        <v>0.8</v>
      </c>
      <c r="P29" s="83">
        <v>0.04</v>
      </c>
      <c r="Q29" s="83">
        <v>0.5</v>
      </c>
      <c r="R29" s="83">
        <v>7.3</v>
      </c>
      <c r="S29" s="83">
        <v>0</v>
      </c>
      <c r="T29" s="83">
        <v>0</v>
      </c>
      <c r="U29" s="83">
        <v>0</v>
      </c>
      <c r="V29" s="83">
        <v>0</v>
      </c>
      <c r="W29" s="83">
        <v>0</v>
      </c>
      <c r="X29" s="83">
        <v>0</v>
      </c>
      <c r="Y29" s="83">
        <v>0</v>
      </c>
      <c r="Z29" s="83" t="s">
        <v>177</v>
      </c>
      <c r="AA29" s="83" t="s">
        <v>178</v>
      </c>
      <c r="AB29" s="29" t="s">
        <v>179</v>
      </c>
      <c r="AC29" s="83">
        <v>0</v>
      </c>
      <c r="AD29" s="83">
        <v>0</v>
      </c>
      <c r="AE29" s="83">
        <v>0</v>
      </c>
      <c r="AF29" s="83">
        <v>0</v>
      </c>
      <c r="AG29" s="29">
        <v>0</v>
      </c>
      <c r="AH29" s="19">
        <f t="shared" si="0"/>
        <v>0.4</v>
      </c>
    </row>
    <row r="30" spans="1:34" ht="15.75" customHeight="1" x14ac:dyDescent="0.25">
      <c r="A30" s="153" t="s">
        <v>33</v>
      </c>
      <c r="B30" s="154"/>
      <c r="C30" s="155"/>
      <c r="D30" s="84" t="s">
        <v>22</v>
      </c>
      <c r="E30" s="84" t="s">
        <v>9</v>
      </c>
      <c r="F30" s="84" t="s">
        <v>9</v>
      </c>
      <c r="G30" s="84" t="s">
        <v>9</v>
      </c>
      <c r="H30" s="84" t="s">
        <v>9</v>
      </c>
      <c r="I30" s="84" t="s">
        <v>8</v>
      </c>
      <c r="J30" s="84" t="s">
        <v>8</v>
      </c>
      <c r="K30" s="84" t="s">
        <v>8</v>
      </c>
      <c r="L30" s="84" t="s">
        <v>8</v>
      </c>
      <c r="M30" s="84" t="s">
        <v>8</v>
      </c>
      <c r="N30" s="84" t="s">
        <v>9</v>
      </c>
      <c r="O30" s="84" t="s">
        <v>9</v>
      </c>
      <c r="P30" s="84" t="s">
        <v>9</v>
      </c>
      <c r="Q30" s="84" t="s">
        <v>9</v>
      </c>
      <c r="R30" s="84" t="s">
        <v>9</v>
      </c>
      <c r="S30" s="84" t="s">
        <v>22</v>
      </c>
      <c r="T30" s="84" t="s">
        <v>22</v>
      </c>
      <c r="U30" s="84" t="s">
        <v>22</v>
      </c>
      <c r="V30" s="84" t="s">
        <v>22</v>
      </c>
      <c r="W30" s="84" t="s">
        <v>22</v>
      </c>
      <c r="X30" s="84" t="s">
        <v>22</v>
      </c>
      <c r="Y30" s="84" t="s">
        <v>9</v>
      </c>
      <c r="Z30" s="84" t="s">
        <v>8</v>
      </c>
      <c r="AA30" s="84" t="s">
        <v>9</v>
      </c>
      <c r="AB30" s="84" t="s">
        <v>9</v>
      </c>
      <c r="AC30" s="84" t="s">
        <v>22</v>
      </c>
      <c r="AD30" s="84" t="s">
        <v>12</v>
      </c>
      <c r="AE30" s="84" t="s">
        <v>12</v>
      </c>
      <c r="AF30" s="84" t="s">
        <v>12</v>
      </c>
      <c r="AG30" s="84" t="s">
        <v>12</v>
      </c>
      <c r="AH30" s="19">
        <f t="shared" si="0"/>
        <v>0.8666666666666667</v>
      </c>
    </row>
    <row r="31" spans="1:34" ht="15.75" customHeight="1" x14ac:dyDescent="0.25">
      <c r="A31" s="156" t="s">
        <v>34</v>
      </c>
      <c r="B31" s="157"/>
      <c r="C31" s="158"/>
      <c r="D31" s="72" t="s">
        <v>22</v>
      </c>
      <c r="E31" s="72" t="s">
        <v>9</v>
      </c>
      <c r="F31" s="72" t="s">
        <v>9</v>
      </c>
      <c r="G31" s="72" t="s">
        <v>9</v>
      </c>
      <c r="H31" s="72" t="s">
        <v>9</v>
      </c>
      <c r="I31" s="72" t="s">
        <v>8</v>
      </c>
      <c r="J31" s="72" t="s">
        <v>8</v>
      </c>
      <c r="K31" s="72" t="s">
        <v>8</v>
      </c>
      <c r="L31" s="72" t="s">
        <v>8</v>
      </c>
      <c r="M31" s="72" t="s">
        <v>8</v>
      </c>
      <c r="N31" s="72" t="s">
        <v>9</v>
      </c>
      <c r="O31" s="72" t="s">
        <v>9</v>
      </c>
      <c r="P31" s="72" t="s">
        <v>9</v>
      </c>
      <c r="Q31" s="72" t="s">
        <v>9</v>
      </c>
      <c r="R31" s="72" t="s">
        <v>9</v>
      </c>
      <c r="S31" s="72" t="s">
        <v>22</v>
      </c>
      <c r="T31" s="72" t="s">
        <v>12</v>
      </c>
      <c r="U31" s="72" t="s">
        <v>12</v>
      </c>
      <c r="V31" s="72" t="s">
        <v>12</v>
      </c>
      <c r="W31" s="72" t="s">
        <v>12</v>
      </c>
      <c r="X31" s="72" t="s">
        <v>22</v>
      </c>
      <c r="Y31" s="72" t="s">
        <v>9</v>
      </c>
      <c r="Z31" s="72" t="s">
        <v>8</v>
      </c>
      <c r="AA31" s="72" t="s">
        <v>9</v>
      </c>
      <c r="AB31" s="72" t="s">
        <v>9</v>
      </c>
      <c r="AC31" s="72" t="s">
        <v>22</v>
      </c>
      <c r="AD31" s="72" t="s">
        <v>12</v>
      </c>
      <c r="AE31" s="72" t="s">
        <v>12</v>
      </c>
      <c r="AF31" s="72" t="s">
        <v>12</v>
      </c>
      <c r="AG31" s="72" t="s">
        <v>12</v>
      </c>
      <c r="AH31" s="13">
        <f t="shared" si="0"/>
        <v>0.73333333333333328</v>
      </c>
    </row>
    <row r="32" spans="1:34" ht="15.75" customHeight="1" x14ac:dyDescent="0.25">
      <c r="A32" s="159" t="s">
        <v>35</v>
      </c>
      <c r="B32" s="160"/>
      <c r="C32" s="161"/>
      <c r="D32" s="85" t="s">
        <v>22</v>
      </c>
      <c r="E32" s="85" t="s">
        <v>9</v>
      </c>
      <c r="F32" s="85" t="s">
        <v>9</v>
      </c>
      <c r="G32" s="85" t="s">
        <v>9</v>
      </c>
      <c r="H32" s="85" t="s">
        <v>9</v>
      </c>
      <c r="I32" s="85" t="s">
        <v>8</v>
      </c>
      <c r="J32" s="85" t="s">
        <v>8</v>
      </c>
      <c r="K32" s="85" t="s">
        <v>8</v>
      </c>
      <c r="L32" s="85" t="s">
        <v>8</v>
      </c>
      <c r="M32" s="85" t="s">
        <v>8</v>
      </c>
      <c r="N32" s="85" t="s">
        <v>9</v>
      </c>
      <c r="O32" s="85" t="s">
        <v>9</v>
      </c>
      <c r="P32" s="85" t="s">
        <v>9</v>
      </c>
      <c r="Q32" s="85" t="s">
        <v>9</v>
      </c>
      <c r="R32" s="85" t="s">
        <v>9</v>
      </c>
      <c r="S32" s="85" t="s">
        <v>22</v>
      </c>
      <c r="T32" s="85" t="s">
        <v>12</v>
      </c>
      <c r="U32" s="85" t="s">
        <v>12</v>
      </c>
      <c r="V32" s="85" t="s">
        <v>12</v>
      </c>
      <c r="W32" s="85" t="s">
        <v>12</v>
      </c>
      <c r="X32" s="85" t="s">
        <v>22</v>
      </c>
      <c r="Y32" s="85" t="s">
        <v>9</v>
      </c>
      <c r="Z32" s="85" t="s">
        <v>8</v>
      </c>
      <c r="AA32" s="85" t="s">
        <v>9</v>
      </c>
      <c r="AB32" s="85" t="s">
        <v>9</v>
      </c>
      <c r="AC32" s="85" t="s">
        <v>22</v>
      </c>
      <c r="AD32" s="85" t="s">
        <v>12</v>
      </c>
      <c r="AE32" s="85" t="s">
        <v>12</v>
      </c>
      <c r="AF32" s="85" t="s">
        <v>12</v>
      </c>
      <c r="AG32" s="85" t="s">
        <v>12</v>
      </c>
      <c r="AH32" s="17">
        <f t="shared" si="0"/>
        <v>0.73333333333333328</v>
      </c>
    </row>
    <row r="33" spans="1:43" ht="15.75" customHeight="1" x14ac:dyDescent="0.25">
      <c r="A33" s="162" t="s">
        <v>36</v>
      </c>
      <c r="B33" s="163"/>
      <c r="C33" s="164"/>
      <c r="D33" s="81" t="s">
        <v>22</v>
      </c>
      <c r="E33" s="81" t="s">
        <v>11</v>
      </c>
      <c r="F33" s="81" t="s">
        <v>11</v>
      </c>
      <c r="G33" s="81" t="s">
        <v>11</v>
      </c>
      <c r="H33" s="81" t="s">
        <v>11</v>
      </c>
      <c r="I33" s="81" t="s">
        <v>11</v>
      </c>
      <c r="J33" s="81" t="s">
        <v>11</v>
      </c>
      <c r="K33" s="81" t="s">
        <v>11</v>
      </c>
      <c r="L33" s="81" t="s">
        <v>11</v>
      </c>
      <c r="M33" s="81" t="s">
        <v>11</v>
      </c>
      <c r="N33" s="81" t="s">
        <v>11</v>
      </c>
      <c r="O33" s="24" t="s">
        <v>11</v>
      </c>
      <c r="P33" s="24" t="s">
        <v>11</v>
      </c>
      <c r="Q33" s="24" t="s">
        <v>11</v>
      </c>
      <c r="R33" s="24" t="s">
        <v>11</v>
      </c>
      <c r="S33" s="24" t="s">
        <v>22</v>
      </c>
      <c r="T33" s="24" t="s">
        <v>12</v>
      </c>
      <c r="U33" s="24" t="s">
        <v>12</v>
      </c>
      <c r="V33" s="24" t="s">
        <v>12</v>
      </c>
      <c r="W33" s="24" t="s">
        <v>12</v>
      </c>
      <c r="X33" s="24" t="s">
        <v>22</v>
      </c>
      <c r="Y33" s="24" t="s">
        <v>11</v>
      </c>
      <c r="Z33" s="24" t="s">
        <v>11</v>
      </c>
      <c r="AA33" s="24" t="s">
        <v>11</v>
      </c>
      <c r="AB33" s="25" t="s">
        <v>11</v>
      </c>
      <c r="AC33" s="24" t="s">
        <v>22</v>
      </c>
      <c r="AD33" s="24" t="s">
        <v>12</v>
      </c>
      <c r="AE33" s="24" t="s">
        <v>12</v>
      </c>
      <c r="AF33" s="24" t="s">
        <v>12</v>
      </c>
      <c r="AG33" s="24" t="s">
        <v>12</v>
      </c>
      <c r="AH33" s="19">
        <f t="shared" si="0"/>
        <v>0.73333333333333328</v>
      </c>
    </row>
    <row r="34" spans="1:43" ht="15.75" customHeight="1" x14ac:dyDescent="0.25">
      <c r="A34" s="162" t="s">
        <v>95</v>
      </c>
      <c r="B34" s="163"/>
      <c r="C34" s="164"/>
      <c r="D34" s="25" t="s">
        <v>22</v>
      </c>
      <c r="E34" s="25" t="s">
        <v>11</v>
      </c>
      <c r="F34" s="25" t="s">
        <v>11</v>
      </c>
      <c r="G34" s="25" t="s">
        <v>11</v>
      </c>
      <c r="H34" s="25" t="s">
        <v>11</v>
      </c>
      <c r="I34" s="25" t="s">
        <v>11</v>
      </c>
      <c r="J34" s="25" t="s">
        <v>11</v>
      </c>
      <c r="K34" s="25" t="s">
        <v>11</v>
      </c>
      <c r="L34" s="25" t="s">
        <v>11</v>
      </c>
      <c r="M34" s="25" t="s">
        <v>11</v>
      </c>
      <c r="N34" s="25" t="s">
        <v>11</v>
      </c>
      <c r="O34" s="24" t="s">
        <v>11</v>
      </c>
      <c r="P34" s="24" t="s">
        <v>11</v>
      </c>
      <c r="Q34" s="24" t="s">
        <v>11</v>
      </c>
      <c r="R34" s="24" t="s">
        <v>11</v>
      </c>
      <c r="S34" s="24" t="s">
        <v>22</v>
      </c>
      <c r="T34" s="24" t="s">
        <v>12</v>
      </c>
      <c r="U34" s="24" t="s">
        <v>12</v>
      </c>
      <c r="V34" s="24" t="s">
        <v>12</v>
      </c>
      <c r="W34" s="24" t="s">
        <v>12</v>
      </c>
      <c r="X34" s="24" t="s">
        <v>22</v>
      </c>
      <c r="Y34" s="24" t="s">
        <v>11</v>
      </c>
      <c r="Z34" s="24" t="s">
        <v>11</v>
      </c>
      <c r="AA34" s="24" t="s">
        <v>11</v>
      </c>
      <c r="AB34" s="25" t="s">
        <v>11</v>
      </c>
      <c r="AC34" s="24" t="s">
        <v>22</v>
      </c>
      <c r="AD34" s="24" t="s">
        <v>12</v>
      </c>
      <c r="AE34" s="24" t="s">
        <v>12</v>
      </c>
      <c r="AF34" s="24" t="s">
        <v>12</v>
      </c>
      <c r="AG34" s="24" t="s">
        <v>12</v>
      </c>
      <c r="AH34" s="19">
        <f t="shared" si="0"/>
        <v>0.73333333333333328</v>
      </c>
    </row>
    <row r="35" spans="1:43" ht="15.75" customHeight="1" thickBot="1" x14ac:dyDescent="0.3">
      <c r="A35" s="165" t="s">
        <v>96</v>
      </c>
      <c r="B35" s="166"/>
      <c r="C35" s="167"/>
      <c r="D35" s="97" t="s">
        <v>22</v>
      </c>
      <c r="E35" s="97" t="s">
        <v>11</v>
      </c>
      <c r="F35" s="97" t="s">
        <v>11</v>
      </c>
      <c r="G35" s="97" t="s">
        <v>11</v>
      </c>
      <c r="H35" s="97" t="s">
        <v>11</v>
      </c>
      <c r="I35" s="97" t="s">
        <v>11</v>
      </c>
      <c r="J35" s="97" t="s">
        <v>11</v>
      </c>
      <c r="K35" s="97" t="s">
        <v>11</v>
      </c>
      <c r="L35" s="97" t="s">
        <v>11</v>
      </c>
      <c r="M35" s="97" t="s">
        <v>11</v>
      </c>
      <c r="N35" s="97" t="s">
        <v>11</v>
      </c>
      <c r="O35" s="96" t="s">
        <v>11</v>
      </c>
      <c r="P35" s="96" t="s">
        <v>11</v>
      </c>
      <c r="Q35" s="96" t="s">
        <v>11</v>
      </c>
      <c r="R35" s="96" t="s">
        <v>11</v>
      </c>
      <c r="S35" s="96" t="s">
        <v>22</v>
      </c>
      <c r="T35" s="96" t="s">
        <v>12</v>
      </c>
      <c r="U35" s="96" t="s">
        <v>12</v>
      </c>
      <c r="V35" s="96" t="s">
        <v>12</v>
      </c>
      <c r="W35" s="96" t="s">
        <v>12</v>
      </c>
      <c r="X35" s="96" t="s">
        <v>22</v>
      </c>
      <c r="Y35" s="96" t="s">
        <v>11</v>
      </c>
      <c r="Z35" s="96" t="s">
        <v>11</v>
      </c>
      <c r="AA35" s="96" t="s">
        <v>11</v>
      </c>
      <c r="AB35" s="97" t="s">
        <v>11</v>
      </c>
      <c r="AC35" s="96" t="s">
        <v>22</v>
      </c>
      <c r="AD35" s="96" t="s">
        <v>12</v>
      </c>
      <c r="AE35" s="96" t="s">
        <v>12</v>
      </c>
      <c r="AF35" s="96" t="s">
        <v>12</v>
      </c>
      <c r="AG35" s="96" t="s">
        <v>12</v>
      </c>
      <c r="AH35" s="98">
        <f>IF(COUNTA(D35:AG35)&gt;0,(COUNTA(D35:AG35)-COUNTIF(D35:AG35,"NB")-COUNTIF(D35:AG35,"DN")-COUNTIF(D35:AG35,"An")-COUNTIF(D35:AG35,"NB^")-COUNTIF(D35:AG35,0))/COUNTA(D35:AG35),"")</f>
        <v>0.73333333333333328</v>
      </c>
    </row>
    <row r="36" spans="1:43" s="32" customFormat="1" ht="15.75" customHeight="1" x14ac:dyDescent="0.25">
      <c r="A36" s="150" t="s">
        <v>37</v>
      </c>
      <c r="B36" s="151"/>
      <c r="C36" s="152"/>
      <c r="D36" s="76"/>
      <c r="E36" s="76"/>
      <c r="F36" s="76"/>
      <c r="G36" s="31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7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33"/>
      <c r="AI36"/>
      <c r="AJ36"/>
      <c r="AK36"/>
      <c r="AL36"/>
      <c r="AM36"/>
      <c r="AN36"/>
      <c r="AO36"/>
      <c r="AP36"/>
      <c r="AQ36"/>
    </row>
    <row r="37" spans="1:43" ht="15.75" customHeight="1" thickBot="1" x14ac:dyDescent="0.3">
      <c r="A37" s="168" t="s">
        <v>38</v>
      </c>
      <c r="B37" s="169"/>
      <c r="C37" s="170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35"/>
    </row>
    <row r="38" spans="1:43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/>
      </c>
      <c r="E38" s="37" t="str">
        <f>IF(AND(E5&gt;0,COUNTA(E6:E37)&gt;0,COUNTA(E6:E37)-COUNTIF(E6:E37,"NB")-COUNTIF(E30:E31, "0")=COUNTA(E6:E37)),"AB","")</f>
        <v/>
      </c>
      <c r="F38" s="37" t="str">
        <f>IF(AND(F5&gt;0,COUNTA(F6:F37)&gt;0,COUNTA(F6:F37)-COUNTIF(F6:F37,"NB")-COUNTIF(F30:F31, "0")=COUNTA(F6:F37)),"AB","")</f>
        <v/>
      </c>
      <c r="G38" s="37" t="str">
        <f>IF(AND(G5&gt;0,COUNTA(G6:G37)&gt;0,COUNTA(G6:G37)-COUNTIF(G6:G37,"NB")-COUNTIF(G30:G31, "0")=COUNTA(G6:G37)),"AB","")</f>
        <v>AB</v>
      </c>
      <c r="H38" s="37" t="str">
        <f>IF(AND(H5&gt;0,COUNTA(H6:H37)&gt;0,COUNTA(H6:H37)-COUNTIF(H6:H37,"NB")-COUNTIF(H30:H31, "0")=COUNTA(H6:H37)),"AB","")</f>
        <v>AB</v>
      </c>
      <c r="J38" s="37" t="str">
        <f t="shared" ref="J38:AG38" si="1">IF(AND(J5&gt;0,COUNTA(J6:J37)&gt;0,COUNTA(J6:J37)-COUNTIF(J6:J37,"NB")-COUNTIF(J30:J31, "0")=COUNTA(J6:J37)),"AB","")</f>
        <v>AB</v>
      </c>
      <c r="K38" s="37" t="str">
        <f t="shared" si="1"/>
        <v>AB</v>
      </c>
      <c r="L38" s="37" t="str">
        <f t="shared" si="1"/>
        <v>AB</v>
      </c>
      <c r="M38" s="37" t="str">
        <f t="shared" si="1"/>
        <v>AB</v>
      </c>
      <c r="N38" s="37" t="str">
        <f t="shared" si="1"/>
        <v/>
      </c>
      <c r="O38" s="37" t="str">
        <f t="shared" si="1"/>
        <v/>
      </c>
      <c r="P38" s="37" t="str">
        <f t="shared" si="1"/>
        <v/>
      </c>
      <c r="Q38" s="37" t="str">
        <f t="shared" si="1"/>
        <v/>
      </c>
      <c r="R38" s="37" t="str">
        <f t="shared" si="1"/>
        <v/>
      </c>
      <c r="S38" s="37" t="str">
        <f t="shared" si="1"/>
        <v/>
      </c>
      <c r="T38" s="37" t="str">
        <f t="shared" si="1"/>
        <v/>
      </c>
      <c r="U38" s="37" t="str">
        <f t="shared" si="1"/>
        <v/>
      </c>
      <c r="V38" s="37" t="str">
        <f t="shared" si="1"/>
        <v/>
      </c>
      <c r="W38" s="37" t="str">
        <f t="shared" si="1"/>
        <v/>
      </c>
      <c r="X38" s="37" t="str">
        <f t="shared" si="1"/>
        <v/>
      </c>
      <c r="Y38" s="37" t="str">
        <f t="shared" si="1"/>
        <v/>
      </c>
      <c r="Z38" s="37" t="str">
        <f t="shared" si="1"/>
        <v/>
      </c>
      <c r="AA38" s="37" t="str">
        <f t="shared" si="1"/>
        <v/>
      </c>
      <c r="AB38" s="37" t="str">
        <f t="shared" si="1"/>
        <v/>
      </c>
      <c r="AC38" s="37" t="str">
        <f t="shared" si="1"/>
        <v/>
      </c>
      <c r="AD38" s="37" t="str">
        <f t="shared" si="1"/>
        <v/>
      </c>
      <c r="AE38" s="37" t="str">
        <f t="shared" si="1"/>
        <v/>
      </c>
      <c r="AF38" s="37" t="str">
        <f t="shared" si="1"/>
        <v/>
      </c>
      <c r="AG38" s="37" t="str">
        <f t="shared" si="1"/>
        <v/>
      </c>
      <c r="AH38" s="35"/>
    </row>
    <row r="39" spans="1:43" ht="15.75" hidden="1" customHeight="1" x14ac:dyDescent="0.25">
      <c r="D39" s="38" t="str">
        <f>IF(AND(D5:D5&gt;0,COUNTA(D6:D34),COUNTIF(D6:D34,"NB")+COUNTIF(D6:D34,0)=COUNTA(D6:D34)),"ANB","")</f>
        <v/>
      </c>
      <c r="E39" s="38" t="str">
        <f>IF(AND(E5:E5&gt;0,COUNTA(E6:E34),COUNTIF(E6:E34,"NB")+COUNTIF(E6:E34,0)=COUNTA(E6:E34)),"ANB","")</f>
        <v/>
      </c>
      <c r="F39" s="38" t="str">
        <f>IF(AND(F5:F5&gt;0,COUNTA(F6:F34),COUNTIF(F6:F34,"NB")+COUNTIF(F6:F34,0)=COUNTA(F6:F34)),"ANB","")</f>
        <v/>
      </c>
      <c r="G39" s="38" t="str">
        <f>IF(AND(G5:G5&gt;0,COUNTA(G6:G34),COUNTIF(G6:G34,"NB")+COUNTIF(G6:G34,0)=COUNTA(G6:G34)),"ANB","")</f>
        <v/>
      </c>
      <c r="H39" s="38" t="str">
        <f>IF(AND(H5:H5&gt;0,COUNTA(H6:H34),COUNTIF(H6:H34,"NB")+COUNTIF(H6:H34,0)=COUNTA(H6:H34)),"ANB","")</f>
        <v/>
      </c>
      <c r="I39" s="38" t="str">
        <f>IF(AND(I5:I5&gt;0,COUNTA(I6:I31),COUNTIF(I6:I31,"NB")+COUNTIF(I6:I31,0)=COUNTA(I6:I31)),"ANB","")</f>
        <v/>
      </c>
      <c r="J39" s="38" t="str">
        <f t="shared" ref="J39:AG39" si="2">IF(AND(J5:J5&gt;0,COUNTA(J6:J34),COUNTIF(J6:J34,"NB")+COUNTIF(J6:J34,0)=COUNTA(J6:J34)),"ANB","")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</row>
    <row r="40" spans="1:43" ht="15.75" customHeight="1" thickBot="1" x14ac:dyDescent="0.3">
      <c r="D40" s="39"/>
    </row>
    <row r="41" spans="1:43" ht="15.75" customHeight="1" thickBot="1" x14ac:dyDescent="0.3">
      <c r="A41" s="147" t="s">
        <v>39</v>
      </c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</row>
    <row r="42" spans="1:43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</row>
    <row r="43" spans="1:43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</row>
    <row r="44" spans="1:43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</row>
    <row r="45" spans="1:43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</row>
    <row r="46" spans="1:43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</row>
    <row r="47" spans="1:43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</row>
    <row r="48" spans="1:43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</row>
    <row r="49" spans="1:34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</row>
    <row r="50" spans="1:34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COUNTA(D5:AG5)</f>
        <v>30</v>
      </c>
      <c r="AH50"/>
    </row>
    <row r="51" spans="1:34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COUNTIF(D38:AG38,"AB")</f>
        <v>6</v>
      </c>
      <c r="AH51"/>
    </row>
    <row r="52" spans="1:34" ht="15.75" customHeight="1" x14ac:dyDescent="0.25">
      <c r="A52" s="54" t="s">
        <v>82</v>
      </c>
      <c r="B52" t="s">
        <v>83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24</v>
      </c>
      <c r="AH52"/>
    </row>
    <row r="53" spans="1:34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COUNTIF(D39:AG39,"ANB")</f>
        <v>0</v>
      </c>
      <c r="AH53"/>
    </row>
    <row r="54" spans="1:34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/>
    </row>
    <row r="55" spans="1:34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/>
    </row>
    <row r="56" spans="1:34" ht="15.75" customHeight="1" x14ac:dyDescent="0.25">
      <c r="AH56"/>
    </row>
    <row r="57" spans="1:34" ht="15.75" customHeight="1" x14ac:dyDescent="0.25">
      <c r="AH57"/>
    </row>
    <row r="58" spans="1:34" ht="15.75" customHeight="1" x14ac:dyDescent="0.25">
      <c r="AH58"/>
    </row>
    <row r="59" spans="1:34" ht="15.75" customHeight="1" x14ac:dyDescent="0.25">
      <c r="AH59"/>
    </row>
  </sheetData>
  <mergeCells count="33"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37:C37"/>
    <mergeCell ref="A41:AG41"/>
    <mergeCell ref="A30:C30"/>
    <mergeCell ref="A31:C31"/>
    <mergeCell ref="A32:C32"/>
    <mergeCell ref="A33:C33"/>
    <mergeCell ref="A34:C34"/>
    <mergeCell ref="A36:C36"/>
    <mergeCell ref="A35:C35"/>
  </mergeCells>
  <conditionalFormatting sqref="D6:D8 D18:D35 D15:F17 F6:F14 F18:F35 G6:I35 O6:AG35">
    <cfRule type="containsText" dxfId="1065" priority="27" operator="containsText" text="NB">
      <formula>NOT(ISERROR(SEARCH("NB",D6)))</formula>
    </cfRule>
    <cfRule type="containsText" dxfId="1064" priority="28" operator="containsText" text="M">
      <formula>NOT(ISERROR(SEARCH("M",D6)))</formula>
    </cfRule>
    <cfRule type="containsText" dxfId="1063" priority="29" operator="containsText" text="B">
      <formula>NOT(ISERROR(SEARCH("B",D6)))</formula>
    </cfRule>
  </conditionalFormatting>
  <conditionalFormatting sqref="D29 F29:I29 O29:AG29">
    <cfRule type="cellIs" dxfId="1062" priority="26" operator="equal">
      <formula>0</formula>
    </cfRule>
  </conditionalFormatting>
  <conditionalFormatting sqref="D9:E14">
    <cfRule type="containsText" dxfId="1061" priority="23" operator="containsText" text="NB">
      <formula>NOT(ISERROR(SEARCH("NB",D9)))</formula>
    </cfRule>
    <cfRule type="containsText" dxfId="1060" priority="24" operator="containsText" text="M">
      <formula>NOT(ISERROR(SEARCH("M",D9)))</formula>
    </cfRule>
    <cfRule type="containsText" dxfId="1059" priority="25" operator="containsText" text="B">
      <formula>NOT(ISERROR(SEARCH("B",D9)))</formula>
    </cfRule>
  </conditionalFormatting>
  <conditionalFormatting sqref="E6:E8 E18:E35">
    <cfRule type="containsText" dxfId="1058" priority="20" operator="containsText" text="NB">
      <formula>NOT(ISERROR(SEARCH("NB",E6)))</formula>
    </cfRule>
    <cfRule type="containsText" dxfId="1057" priority="21" operator="containsText" text="M">
      <formula>NOT(ISERROR(SEARCH("M",E6)))</formula>
    </cfRule>
    <cfRule type="containsText" dxfId="1056" priority="22" operator="containsText" text="B">
      <formula>NOT(ISERROR(SEARCH("B",E6)))</formula>
    </cfRule>
  </conditionalFormatting>
  <conditionalFormatting sqref="E29">
    <cfRule type="cellIs" dxfId="1055" priority="19" operator="equal">
      <formula>0</formula>
    </cfRule>
  </conditionalFormatting>
  <conditionalFormatting sqref="J6:J35">
    <cfRule type="containsText" dxfId="1054" priority="10" operator="containsText" text="NB">
      <formula>NOT(ISERROR(SEARCH("NB",J6)))</formula>
    </cfRule>
    <cfRule type="containsText" dxfId="1053" priority="11" operator="containsText" text="M">
      <formula>NOT(ISERROR(SEARCH("M",J6)))</formula>
    </cfRule>
    <cfRule type="containsText" dxfId="1052" priority="12" operator="containsText" text="B">
      <formula>NOT(ISERROR(SEARCH("B",J6)))</formula>
    </cfRule>
  </conditionalFormatting>
  <conditionalFormatting sqref="J29">
    <cfRule type="cellIs" dxfId="1051" priority="9" operator="equal">
      <formula>0</formula>
    </cfRule>
  </conditionalFormatting>
  <conditionalFormatting sqref="K6:K35">
    <cfRule type="containsText" dxfId="1050" priority="6" operator="containsText" text="NB">
      <formula>NOT(ISERROR(SEARCH("NB",K6)))</formula>
    </cfRule>
    <cfRule type="containsText" dxfId="1049" priority="7" operator="containsText" text="M">
      <formula>NOT(ISERROR(SEARCH("M",K6)))</formula>
    </cfRule>
    <cfRule type="containsText" dxfId="1048" priority="8" operator="containsText" text="B">
      <formula>NOT(ISERROR(SEARCH("B",K6)))</formula>
    </cfRule>
  </conditionalFormatting>
  <conditionalFormatting sqref="K29">
    <cfRule type="cellIs" dxfId="1047" priority="5" operator="equal">
      <formula>0</formula>
    </cfRule>
  </conditionalFormatting>
  <conditionalFormatting sqref="L6:N35">
    <cfRule type="containsText" dxfId="1046" priority="2" operator="containsText" text="NB">
      <formula>NOT(ISERROR(SEARCH("NB",L6)))</formula>
    </cfRule>
    <cfRule type="containsText" dxfId="1045" priority="3" operator="containsText" text="M">
      <formula>NOT(ISERROR(SEARCH("M",L6)))</formula>
    </cfRule>
    <cfRule type="containsText" dxfId="1044" priority="4" operator="containsText" text="B">
      <formula>NOT(ISERROR(SEARCH("B",L6)))</formula>
    </cfRule>
  </conditionalFormatting>
  <conditionalFormatting sqref="L29:N29">
    <cfRule type="cellIs" dxfId="1043" priority="1" operator="equal">
      <formula>0</formula>
    </cfRule>
  </conditionalFormatting>
  <pageMargins left="0.75" right="0.75" top="1" bottom="1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59"/>
  <sheetViews>
    <sheetView zoomScale="80" zoomScaleNormal="80" zoomScalePageLayoutView="90" workbookViewId="0">
      <selection activeCell="A29" sqref="A29:C29"/>
    </sheetView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4" width="5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91</v>
      </c>
    </row>
    <row r="3" spans="1:44" ht="23.25" x14ac:dyDescent="0.35">
      <c r="A3" s="1" t="s">
        <v>2</v>
      </c>
      <c r="P3" s="4" t="s">
        <v>107</v>
      </c>
    </row>
    <row r="4" spans="1:44" s="5" customFormat="1" ht="15.75" customHeight="1" thickBot="1" x14ac:dyDescent="0.3">
      <c r="F4" s="5" t="s">
        <v>3</v>
      </c>
      <c r="G4" s="5" t="s">
        <v>3</v>
      </c>
      <c r="H4" s="5" t="s">
        <v>4</v>
      </c>
      <c r="M4" s="5" t="s">
        <v>3</v>
      </c>
      <c r="N4" s="5" t="s">
        <v>3</v>
      </c>
      <c r="O4" s="6"/>
      <c r="T4" s="5" t="s">
        <v>3</v>
      </c>
      <c r="U4" s="5" t="s">
        <v>3</v>
      </c>
      <c r="AA4" s="5" t="s">
        <v>3</v>
      </c>
      <c r="AB4" s="5" t="s">
        <v>3</v>
      </c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0">
        <v>31</v>
      </c>
      <c r="AI5" s="11" t="s">
        <v>6</v>
      </c>
      <c r="AJ5"/>
      <c r="AK5"/>
      <c r="AL5"/>
      <c r="AM5"/>
      <c r="AN5"/>
      <c r="AO5"/>
      <c r="AP5"/>
      <c r="AQ5"/>
      <c r="AR5"/>
    </row>
    <row r="6" spans="1:44" ht="15.75" customHeight="1" x14ac:dyDescent="0.25">
      <c r="A6" s="156" t="s">
        <v>7</v>
      </c>
      <c r="B6" s="157"/>
      <c r="C6" s="158"/>
      <c r="D6" s="72" t="s">
        <v>12</v>
      </c>
      <c r="E6" s="72" t="s">
        <v>12</v>
      </c>
      <c r="F6" s="72" t="s">
        <v>12</v>
      </c>
      <c r="G6" s="72" t="s">
        <v>12</v>
      </c>
      <c r="H6" s="72" t="s">
        <v>12</v>
      </c>
      <c r="I6" s="72" t="s">
        <v>12</v>
      </c>
      <c r="J6" s="72" t="s">
        <v>12</v>
      </c>
      <c r="K6" s="72" t="s">
        <v>12</v>
      </c>
      <c r="L6" s="72" t="s">
        <v>12</v>
      </c>
      <c r="M6" s="72" t="s">
        <v>12</v>
      </c>
      <c r="N6" s="72" t="s">
        <v>12</v>
      </c>
      <c r="O6" s="72" t="s">
        <v>12</v>
      </c>
      <c r="P6" s="72" t="s">
        <v>12</v>
      </c>
      <c r="Q6" s="72" t="s">
        <v>22</v>
      </c>
      <c r="R6" s="72" t="s">
        <v>22</v>
      </c>
      <c r="S6" s="72" t="s">
        <v>22</v>
      </c>
      <c r="T6" s="72" t="s">
        <v>22</v>
      </c>
      <c r="U6" s="72" t="s">
        <v>12</v>
      </c>
      <c r="V6" s="72" t="s">
        <v>12</v>
      </c>
      <c r="W6" s="72" t="s">
        <v>22</v>
      </c>
      <c r="X6" s="72" t="s">
        <v>9</v>
      </c>
      <c r="Y6" s="72" t="s">
        <v>9</v>
      </c>
      <c r="Z6" s="72" t="s">
        <v>22</v>
      </c>
      <c r="AA6" s="72" t="s">
        <v>12</v>
      </c>
      <c r="AB6" s="72" t="s">
        <v>12</v>
      </c>
      <c r="AC6" s="72" t="s">
        <v>12</v>
      </c>
      <c r="AD6" s="72" t="s">
        <v>9</v>
      </c>
      <c r="AE6" s="72" t="s">
        <v>12</v>
      </c>
      <c r="AF6" s="72" t="s">
        <v>12</v>
      </c>
      <c r="AG6" s="72" t="s">
        <v>9</v>
      </c>
      <c r="AH6" s="72" t="s">
        <v>9</v>
      </c>
      <c r="AI6" s="13">
        <f>IF(COUNTA(D6:AH6)&gt;0,(COUNTA(D6:AH6)-COUNTIF(D6:AH6,"NB")-COUNTIF(D6:AH6,"DN")-COUNTIF(D6:AH6,"An")-COUNTIF(D6:AH6,"NB^")-COUNTIF(D6:AH6,0))/COUNTA(D6:AH6),"")</f>
        <v>0.35483870967741937</v>
      </c>
    </row>
    <row r="7" spans="1:44" ht="15.75" customHeight="1" x14ac:dyDescent="0.25">
      <c r="A7" s="180" t="s">
        <v>10</v>
      </c>
      <c r="B7" s="181"/>
      <c r="C7" s="182"/>
      <c r="D7" s="14" t="s">
        <v>12</v>
      </c>
      <c r="E7" s="14" t="s">
        <v>12</v>
      </c>
      <c r="F7" s="14" t="s">
        <v>12</v>
      </c>
      <c r="G7" s="73" t="s">
        <v>12</v>
      </c>
      <c r="H7" s="73" t="s">
        <v>12</v>
      </c>
      <c r="I7" s="73" t="s">
        <v>12</v>
      </c>
      <c r="J7" s="73" t="s">
        <v>12</v>
      </c>
      <c r="K7" s="73" t="s">
        <v>12</v>
      </c>
      <c r="L7" s="73" t="s">
        <v>12</v>
      </c>
      <c r="M7" s="73" t="s">
        <v>12</v>
      </c>
      <c r="N7" s="73" t="s">
        <v>12</v>
      </c>
      <c r="O7" s="73" t="s">
        <v>12</v>
      </c>
      <c r="P7" s="73" t="s">
        <v>12</v>
      </c>
      <c r="Q7" s="73" t="s">
        <v>22</v>
      </c>
      <c r="R7" s="73" t="s">
        <v>22</v>
      </c>
      <c r="S7" s="73" t="s">
        <v>22</v>
      </c>
      <c r="T7" s="73" t="s">
        <v>22</v>
      </c>
      <c r="U7" s="73" t="s">
        <v>12</v>
      </c>
      <c r="V7" s="73" t="s">
        <v>12</v>
      </c>
      <c r="W7" s="14" t="s">
        <v>22</v>
      </c>
      <c r="X7" s="14" t="s">
        <v>22</v>
      </c>
      <c r="Y7" s="14" t="s">
        <v>11</v>
      </c>
      <c r="Z7" s="14" t="s">
        <v>22</v>
      </c>
      <c r="AA7" s="14" t="s">
        <v>12</v>
      </c>
      <c r="AB7" s="14" t="s">
        <v>12</v>
      </c>
      <c r="AC7" s="14" t="s">
        <v>12</v>
      </c>
      <c r="AD7" s="14" t="s">
        <v>11</v>
      </c>
      <c r="AE7" s="14" t="s">
        <v>12</v>
      </c>
      <c r="AF7" s="14" t="s">
        <v>12</v>
      </c>
      <c r="AG7" s="14" t="s">
        <v>11</v>
      </c>
      <c r="AH7" s="73" t="s">
        <v>11</v>
      </c>
      <c r="AI7" s="17">
        <f t="shared" ref="AI7:AI34" si="0">IF(COUNTA(D7:AH7)&gt;0,(COUNTA(D7:AH7)-COUNTIF(D7:AH7,"NB")-COUNTIF(D7:AH7,"DN")-COUNTIF(D7:AH7,"An")-COUNTIF(D7:AH7,"NB^")-COUNTIF(D7:AH7,0))/COUNTA(D7:AH7),"")</f>
        <v>0.35483870967741937</v>
      </c>
    </row>
    <row r="8" spans="1:44" ht="15.75" customHeight="1" x14ac:dyDescent="0.25">
      <c r="A8" s="162" t="s">
        <v>94</v>
      </c>
      <c r="B8" s="163"/>
      <c r="C8" s="164"/>
      <c r="D8" s="18" t="s">
        <v>12</v>
      </c>
      <c r="E8" s="18" t="s">
        <v>12</v>
      </c>
      <c r="F8" s="18" t="s">
        <v>12</v>
      </c>
      <c r="G8" s="18" t="s">
        <v>12</v>
      </c>
      <c r="H8" s="18" t="s">
        <v>12</v>
      </c>
      <c r="I8" s="18" t="s">
        <v>12</v>
      </c>
      <c r="J8" s="18" t="s">
        <v>12</v>
      </c>
      <c r="K8" s="18" t="s">
        <v>12</v>
      </c>
      <c r="L8" s="18" t="s">
        <v>12</v>
      </c>
      <c r="M8" s="18" t="s">
        <v>12</v>
      </c>
      <c r="N8" s="18" t="s">
        <v>12</v>
      </c>
      <c r="O8" s="18" t="s">
        <v>12</v>
      </c>
      <c r="P8" s="18" t="s">
        <v>12</v>
      </c>
      <c r="Q8" s="18" t="s">
        <v>12</v>
      </c>
      <c r="R8" s="18" t="s">
        <v>12</v>
      </c>
      <c r="S8" s="18" t="s">
        <v>12</v>
      </c>
      <c r="T8" s="18" t="s">
        <v>12</v>
      </c>
      <c r="U8" s="18" t="s">
        <v>12</v>
      </c>
      <c r="V8" s="18" t="s">
        <v>12</v>
      </c>
      <c r="W8" s="18" t="s">
        <v>12</v>
      </c>
      <c r="X8" s="18" t="s">
        <v>12</v>
      </c>
      <c r="Y8" s="18" t="s">
        <v>12</v>
      </c>
      <c r="Z8" s="18" t="s">
        <v>12</v>
      </c>
      <c r="AA8" s="18" t="s">
        <v>12</v>
      </c>
      <c r="AB8" s="18" t="s">
        <v>12</v>
      </c>
      <c r="AC8" s="18" t="s">
        <v>12</v>
      </c>
      <c r="AD8" s="18" t="s">
        <v>12</v>
      </c>
      <c r="AE8" s="18" t="s">
        <v>12</v>
      </c>
      <c r="AF8" s="18" t="s">
        <v>12</v>
      </c>
      <c r="AG8" s="18" t="s">
        <v>12</v>
      </c>
      <c r="AH8" s="18" t="s">
        <v>12</v>
      </c>
      <c r="AI8" s="19">
        <f t="shared" si="0"/>
        <v>0</v>
      </c>
    </row>
    <row r="9" spans="1:44" ht="15.75" customHeight="1" x14ac:dyDescent="0.25">
      <c r="A9" s="174" t="s">
        <v>13</v>
      </c>
      <c r="B9" s="175"/>
      <c r="C9" s="176"/>
      <c r="D9" s="20" t="s">
        <v>11</v>
      </c>
      <c r="E9" s="20" t="s">
        <v>11</v>
      </c>
      <c r="F9" s="20" t="s">
        <v>11</v>
      </c>
      <c r="G9" s="124" t="s">
        <v>12</v>
      </c>
      <c r="H9" s="124" t="s">
        <v>12</v>
      </c>
      <c r="I9" s="20" t="s">
        <v>11</v>
      </c>
      <c r="J9" s="124" t="s">
        <v>12</v>
      </c>
      <c r="K9" s="124" t="s">
        <v>12</v>
      </c>
      <c r="L9" s="124" t="s">
        <v>12</v>
      </c>
      <c r="M9" s="124" t="s">
        <v>12</v>
      </c>
      <c r="N9" s="124" t="s">
        <v>12</v>
      </c>
      <c r="O9" s="124" t="s">
        <v>12</v>
      </c>
      <c r="P9" s="124" t="s">
        <v>12</v>
      </c>
      <c r="Q9" s="124" t="s">
        <v>11</v>
      </c>
      <c r="R9" s="124" t="s">
        <v>11</v>
      </c>
      <c r="S9" s="124" t="s">
        <v>11</v>
      </c>
      <c r="T9" s="124" t="s">
        <v>11</v>
      </c>
      <c r="U9" s="124" t="s">
        <v>12</v>
      </c>
      <c r="V9" s="124" t="s">
        <v>12</v>
      </c>
      <c r="W9" s="124" t="s">
        <v>12</v>
      </c>
      <c r="X9" s="124" t="s">
        <v>11</v>
      </c>
      <c r="Y9" s="124" t="s">
        <v>11</v>
      </c>
      <c r="Z9" s="124" t="s">
        <v>11</v>
      </c>
      <c r="AA9" s="124" t="s">
        <v>11</v>
      </c>
      <c r="AB9" s="124" t="s">
        <v>11</v>
      </c>
      <c r="AC9" s="124" t="s">
        <v>11</v>
      </c>
      <c r="AD9" s="124" t="s">
        <v>11</v>
      </c>
      <c r="AE9" s="124" t="s">
        <v>12</v>
      </c>
      <c r="AF9" s="124" t="s">
        <v>12</v>
      </c>
      <c r="AG9" s="124" t="s">
        <v>12</v>
      </c>
      <c r="AH9" s="124" t="s">
        <v>12</v>
      </c>
      <c r="AI9" s="13">
        <f t="shared" si="0"/>
        <v>0.4838709677419355</v>
      </c>
    </row>
    <row r="10" spans="1:44" ht="15.75" customHeight="1" x14ac:dyDescent="0.25">
      <c r="A10" s="177" t="s">
        <v>14</v>
      </c>
      <c r="B10" s="178"/>
      <c r="C10" s="179"/>
      <c r="D10" s="16" t="s">
        <v>11</v>
      </c>
      <c r="E10" s="16" t="s">
        <v>11</v>
      </c>
      <c r="F10" s="16" t="s">
        <v>11</v>
      </c>
      <c r="G10" s="123" t="s">
        <v>12</v>
      </c>
      <c r="H10" s="123" t="s">
        <v>12</v>
      </c>
      <c r="I10" s="16" t="s">
        <v>11</v>
      </c>
      <c r="J10" s="123" t="s">
        <v>12</v>
      </c>
      <c r="K10" s="123" t="s">
        <v>12</v>
      </c>
      <c r="L10" s="123" t="s">
        <v>12</v>
      </c>
      <c r="M10" s="123" t="s">
        <v>12</v>
      </c>
      <c r="N10" s="123" t="s">
        <v>12</v>
      </c>
      <c r="O10" s="123" t="s">
        <v>12</v>
      </c>
      <c r="P10" s="123" t="s">
        <v>12</v>
      </c>
      <c r="Q10" s="123" t="s">
        <v>11</v>
      </c>
      <c r="R10" s="123" t="s">
        <v>11</v>
      </c>
      <c r="S10" s="123" t="s">
        <v>11</v>
      </c>
      <c r="T10" s="123" t="s">
        <v>11</v>
      </c>
      <c r="U10" s="123" t="s">
        <v>12</v>
      </c>
      <c r="V10" s="123" t="s">
        <v>12</v>
      </c>
      <c r="W10" s="123" t="s">
        <v>12</v>
      </c>
      <c r="X10" s="123" t="s">
        <v>11</v>
      </c>
      <c r="Y10" s="123" t="s">
        <v>11</v>
      </c>
      <c r="Z10" s="123" t="s">
        <v>11</v>
      </c>
      <c r="AA10" s="123" t="s">
        <v>11</v>
      </c>
      <c r="AB10" s="123" t="s">
        <v>11</v>
      </c>
      <c r="AC10" s="123" t="s">
        <v>11</v>
      </c>
      <c r="AD10" s="123" t="s">
        <v>11</v>
      </c>
      <c r="AE10" s="123" t="s">
        <v>12</v>
      </c>
      <c r="AF10" s="123" t="s">
        <v>12</v>
      </c>
      <c r="AG10" s="123" t="s">
        <v>12</v>
      </c>
      <c r="AH10" s="123" t="s">
        <v>12</v>
      </c>
      <c r="AI10" s="21">
        <f t="shared" si="0"/>
        <v>0.4838709677419355</v>
      </c>
    </row>
    <row r="11" spans="1:44" ht="15.75" customHeight="1" x14ac:dyDescent="0.25">
      <c r="A11" s="177" t="s">
        <v>15</v>
      </c>
      <c r="B11" s="178"/>
      <c r="C11" s="179"/>
      <c r="D11" s="16" t="s">
        <v>11</v>
      </c>
      <c r="E11" s="16" t="s">
        <v>11</v>
      </c>
      <c r="F11" s="16" t="s">
        <v>11</v>
      </c>
      <c r="G11" s="123" t="s">
        <v>12</v>
      </c>
      <c r="H11" s="123" t="s">
        <v>12</v>
      </c>
      <c r="I11" s="16" t="s">
        <v>11</v>
      </c>
      <c r="J11" s="123" t="s">
        <v>12</v>
      </c>
      <c r="K11" s="123" t="s">
        <v>12</v>
      </c>
      <c r="L11" s="123" t="s">
        <v>12</v>
      </c>
      <c r="M11" s="123" t="s">
        <v>12</v>
      </c>
      <c r="N11" s="123" t="s">
        <v>12</v>
      </c>
      <c r="O11" s="123" t="s">
        <v>12</v>
      </c>
      <c r="P11" s="123" t="s">
        <v>12</v>
      </c>
      <c r="Q11" s="123" t="s">
        <v>11</v>
      </c>
      <c r="R11" s="123" t="s">
        <v>11</v>
      </c>
      <c r="S11" s="123" t="s">
        <v>11</v>
      </c>
      <c r="T11" s="123" t="s">
        <v>11</v>
      </c>
      <c r="U11" s="123" t="s">
        <v>12</v>
      </c>
      <c r="V11" s="123" t="s">
        <v>12</v>
      </c>
      <c r="W11" s="123" t="s">
        <v>12</v>
      </c>
      <c r="X11" s="123" t="s">
        <v>11</v>
      </c>
      <c r="Y11" s="123" t="s">
        <v>11</v>
      </c>
      <c r="Z11" s="123" t="s">
        <v>11</v>
      </c>
      <c r="AA11" s="123" t="s">
        <v>11</v>
      </c>
      <c r="AB11" s="123" t="s">
        <v>11</v>
      </c>
      <c r="AC11" s="123" t="s">
        <v>11</v>
      </c>
      <c r="AD11" s="123" t="s">
        <v>11</v>
      </c>
      <c r="AE11" s="123" t="s">
        <v>12</v>
      </c>
      <c r="AF11" s="123" t="s">
        <v>12</v>
      </c>
      <c r="AG11" s="123" t="s">
        <v>12</v>
      </c>
      <c r="AH11" s="123" t="s">
        <v>12</v>
      </c>
      <c r="AI11" s="21">
        <f t="shared" si="0"/>
        <v>0.4838709677419355</v>
      </c>
    </row>
    <row r="12" spans="1:44" ht="15.75" customHeight="1" x14ac:dyDescent="0.25">
      <c r="A12" s="177" t="s">
        <v>16</v>
      </c>
      <c r="B12" s="178"/>
      <c r="C12" s="179"/>
      <c r="D12" s="16" t="s">
        <v>11</v>
      </c>
      <c r="E12" s="16" t="s">
        <v>11</v>
      </c>
      <c r="F12" s="16" t="s">
        <v>11</v>
      </c>
      <c r="G12" s="123" t="s">
        <v>12</v>
      </c>
      <c r="H12" s="123" t="s">
        <v>12</v>
      </c>
      <c r="I12" s="16" t="s">
        <v>11</v>
      </c>
      <c r="J12" s="123" t="s">
        <v>12</v>
      </c>
      <c r="K12" s="123" t="s">
        <v>12</v>
      </c>
      <c r="L12" s="123" t="s">
        <v>12</v>
      </c>
      <c r="M12" s="123" t="s">
        <v>12</v>
      </c>
      <c r="N12" s="123" t="s">
        <v>12</v>
      </c>
      <c r="O12" s="123" t="s">
        <v>12</v>
      </c>
      <c r="P12" s="123" t="s">
        <v>12</v>
      </c>
      <c r="Q12" s="123" t="s">
        <v>11</v>
      </c>
      <c r="R12" s="123" t="s">
        <v>11</v>
      </c>
      <c r="S12" s="123" t="s">
        <v>11</v>
      </c>
      <c r="T12" s="123" t="s">
        <v>11</v>
      </c>
      <c r="U12" s="123" t="s">
        <v>12</v>
      </c>
      <c r="V12" s="123" t="s">
        <v>12</v>
      </c>
      <c r="W12" s="123" t="s">
        <v>12</v>
      </c>
      <c r="X12" s="123" t="s">
        <v>11</v>
      </c>
      <c r="Y12" s="123" t="s">
        <v>11</v>
      </c>
      <c r="Z12" s="123" t="s">
        <v>11</v>
      </c>
      <c r="AA12" s="123" t="s">
        <v>11</v>
      </c>
      <c r="AB12" s="123" t="s">
        <v>11</v>
      </c>
      <c r="AC12" s="123" t="s">
        <v>11</v>
      </c>
      <c r="AD12" s="123" t="s">
        <v>11</v>
      </c>
      <c r="AE12" s="123" t="s">
        <v>12</v>
      </c>
      <c r="AF12" s="123" t="s">
        <v>12</v>
      </c>
      <c r="AG12" s="123" t="s">
        <v>12</v>
      </c>
      <c r="AH12" s="123" t="s">
        <v>12</v>
      </c>
      <c r="AI12" s="21">
        <f t="shared" si="0"/>
        <v>0.4838709677419355</v>
      </c>
    </row>
    <row r="13" spans="1:44" ht="15.75" customHeight="1" x14ac:dyDescent="0.25">
      <c r="A13" s="177" t="s">
        <v>17</v>
      </c>
      <c r="B13" s="178"/>
      <c r="C13" s="179"/>
      <c r="D13" s="16" t="s">
        <v>11</v>
      </c>
      <c r="E13" s="16" t="s">
        <v>11</v>
      </c>
      <c r="F13" s="16" t="s">
        <v>11</v>
      </c>
      <c r="G13" s="123" t="s">
        <v>12</v>
      </c>
      <c r="H13" s="123" t="s">
        <v>12</v>
      </c>
      <c r="I13" s="16" t="s">
        <v>11</v>
      </c>
      <c r="J13" s="123" t="s">
        <v>12</v>
      </c>
      <c r="K13" s="123" t="s">
        <v>12</v>
      </c>
      <c r="L13" s="123" t="s">
        <v>12</v>
      </c>
      <c r="M13" s="123" t="s">
        <v>12</v>
      </c>
      <c r="N13" s="123" t="s">
        <v>12</v>
      </c>
      <c r="O13" s="123" t="s">
        <v>12</v>
      </c>
      <c r="P13" s="123" t="s">
        <v>12</v>
      </c>
      <c r="Q13" s="123" t="s">
        <v>11</v>
      </c>
      <c r="R13" s="123" t="s">
        <v>11</v>
      </c>
      <c r="S13" s="123" t="s">
        <v>11</v>
      </c>
      <c r="T13" s="123" t="s">
        <v>11</v>
      </c>
      <c r="U13" s="123" t="s">
        <v>12</v>
      </c>
      <c r="V13" s="123" t="s">
        <v>12</v>
      </c>
      <c r="W13" s="123" t="s">
        <v>12</v>
      </c>
      <c r="X13" s="123" t="s">
        <v>11</v>
      </c>
      <c r="Y13" s="123" t="s">
        <v>11</v>
      </c>
      <c r="Z13" s="123" t="s">
        <v>11</v>
      </c>
      <c r="AA13" s="123" t="s">
        <v>11</v>
      </c>
      <c r="AB13" s="123" t="s">
        <v>11</v>
      </c>
      <c r="AC13" s="123" t="s">
        <v>11</v>
      </c>
      <c r="AD13" s="123" t="s">
        <v>11</v>
      </c>
      <c r="AE13" s="123" t="s">
        <v>12</v>
      </c>
      <c r="AF13" s="123" t="s">
        <v>12</v>
      </c>
      <c r="AG13" s="123" t="s">
        <v>12</v>
      </c>
      <c r="AH13" s="123" t="s">
        <v>12</v>
      </c>
      <c r="AI13" s="21">
        <f t="shared" si="0"/>
        <v>0.4838709677419355</v>
      </c>
    </row>
    <row r="14" spans="1:44" ht="15.75" customHeight="1" x14ac:dyDescent="0.25">
      <c r="A14" s="180" t="s">
        <v>18</v>
      </c>
      <c r="B14" s="181"/>
      <c r="C14" s="182"/>
      <c r="D14" s="73" t="s">
        <v>11</v>
      </c>
      <c r="E14" s="73" t="s">
        <v>11</v>
      </c>
      <c r="F14" s="73" t="s">
        <v>11</v>
      </c>
      <c r="G14" s="123" t="s">
        <v>12</v>
      </c>
      <c r="H14" s="123" t="s">
        <v>12</v>
      </c>
      <c r="I14" s="73" t="s">
        <v>11</v>
      </c>
      <c r="J14" s="123" t="s">
        <v>12</v>
      </c>
      <c r="K14" s="123" t="s">
        <v>12</v>
      </c>
      <c r="L14" s="123" t="s">
        <v>12</v>
      </c>
      <c r="M14" s="123" t="s">
        <v>12</v>
      </c>
      <c r="N14" s="123" t="s">
        <v>12</v>
      </c>
      <c r="O14" s="123" t="s">
        <v>12</v>
      </c>
      <c r="P14" s="123" t="s">
        <v>12</v>
      </c>
      <c r="Q14" s="123" t="s">
        <v>11</v>
      </c>
      <c r="R14" s="123" t="s">
        <v>11</v>
      </c>
      <c r="S14" s="123" t="s">
        <v>11</v>
      </c>
      <c r="T14" s="123" t="s">
        <v>11</v>
      </c>
      <c r="U14" s="123" t="s">
        <v>12</v>
      </c>
      <c r="V14" s="123" t="s">
        <v>12</v>
      </c>
      <c r="W14" s="123" t="s">
        <v>12</v>
      </c>
      <c r="X14" s="123" t="s">
        <v>11</v>
      </c>
      <c r="Y14" s="123" t="s">
        <v>11</v>
      </c>
      <c r="Z14" s="123" t="s">
        <v>11</v>
      </c>
      <c r="AA14" s="123" t="s">
        <v>11</v>
      </c>
      <c r="AB14" s="123" t="s">
        <v>11</v>
      </c>
      <c r="AC14" s="123" t="s">
        <v>11</v>
      </c>
      <c r="AD14" s="123" t="s">
        <v>11</v>
      </c>
      <c r="AE14" s="123" t="s">
        <v>12</v>
      </c>
      <c r="AF14" s="123" t="s">
        <v>12</v>
      </c>
      <c r="AG14" s="123" t="s">
        <v>12</v>
      </c>
      <c r="AH14" s="123" t="s">
        <v>12</v>
      </c>
      <c r="AI14" s="17">
        <f t="shared" si="0"/>
        <v>0.4838709677419355</v>
      </c>
    </row>
    <row r="15" spans="1:44" ht="15.75" customHeight="1" x14ac:dyDescent="0.25">
      <c r="A15" s="174" t="s">
        <v>19</v>
      </c>
      <c r="B15" s="175"/>
      <c r="C15" s="176"/>
      <c r="D15" s="20" t="s">
        <v>12</v>
      </c>
      <c r="E15" s="20" t="s">
        <v>12</v>
      </c>
      <c r="F15" s="20" t="s">
        <v>12</v>
      </c>
      <c r="G15" s="124" t="s">
        <v>12</v>
      </c>
      <c r="H15" s="124" t="s">
        <v>12</v>
      </c>
      <c r="I15" s="124" t="s">
        <v>12</v>
      </c>
      <c r="J15" s="79" t="s">
        <v>12</v>
      </c>
      <c r="K15" s="79" t="s">
        <v>12</v>
      </c>
      <c r="L15" s="79" t="s">
        <v>12</v>
      </c>
      <c r="M15" s="79" t="s">
        <v>12</v>
      </c>
      <c r="N15" s="79" t="s">
        <v>12</v>
      </c>
      <c r="O15" s="79" t="s">
        <v>12</v>
      </c>
      <c r="P15" s="79" t="s">
        <v>12</v>
      </c>
      <c r="Q15" s="79" t="s">
        <v>11</v>
      </c>
      <c r="R15" s="79" t="s">
        <v>11</v>
      </c>
      <c r="S15" s="79" t="s">
        <v>11</v>
      </c>
      <c r="T15" s="79" t="s">
        <v>12</v>
      </c>
      <c r="U15" s="79" t="s">
        <v>12</v>
      </c>
      <c r="V15" s="79" t="s">
        <v>12</v>
      </c>
      <c r="W15" s="79" t="s">
        <v>11</v>
      </c>
      <c r="X15" s="79" t="s">
        <v>11</v>
      </c>
      <c r="Y15" s="79" t="s">
        <v>11</v>
      </c>
      <c r="Z15" s="79" t="s">
        <v>12</v>
      </c>
      <c r="AA15" s="79" t="s">
        <v>12</v>
      </c>
      <c r="AB15" s="79" t="s">
        <v>12</v>
      </c>
      <c r="AC15" s="79" t="s">
        <v>12</v>
      </c>
      <c r="AD15" s="79" t="s">
        <v>11</v>
      </c>
      <c r="AE15" s="79" t="s">
        <v>12</v>
      </c>
      <c r="AF15" s="79" t="s">
        <v>12</v>
      </c>
      <c r="AG15" s="79" t="s">
        <v>11</v>
      </c>
      <c r="AH15" s="79" t="s">
        <v>11</v>
      </c>
      <c r="AI15" s="13">
        <f t="shared" si="0"/>
        <v>0.29032258064516131</v>
      </c>
    </row>
    <row r="16" spans="1:44" ht="15.75" customHeight="1" x14ac:dyDescent="0.25">
      <c r="A16" s="177" t="s">
        <v>20</v>
      </c>
      <c r="B16" s="178"/>
      <c r="C16" s="179"/>
      <c r="D16" s="16" t="s">
        <v>12</v>
      </c>
      <c r="E16" s="16" t="s">
        <v>12</v>
      </c>
      <c r="F16" s="16" t="s">
        <v>12</v>
      </c>
      <c r="G16" s="123" t="s">
        <v>12</v>
      </c>
      <c r="H16" s="123" t="s">
        <v>12</v>
      </c>
      <c r="I16" s="123" t="s">
        <v>12</v>
      </c>
      <c r="J16" s="80" t="s">
        <v>12</v>
      </c>
      <c r="K16" s="80" t="s">
        <v>12</v>
      </c>
      <c r="L16" s="80" t="s">
        <v>12</v>
      </c>
      <c r="M16" s="80" t="s">
        <v>12</v>
      </c>
      <c r="N16" s="80" t="s">
        <v>12</v>
      </c>
      <c r="O16" s="80" t="s">
        <v>12</v>
      </c>
      <c r="P16" s="80" t="s">
        <v>12</v>
      </c>
      <c r="Q16" s="80" t="s">
        <v>11</v>
      </c>
      <c r="R16" s="80" t="s">
        <v>11</v>
      </c>
      <c r="S16" s="80" t="s">
        <v>11</v>
      </c>
      <c r="T16" s="80" t="s">
        <v>12</v>
      </c>
      <c r="U16" s="80" t="s">
        <v>12</v>
      </c>
      <c r="V16" s="80" t="s">
        <v>12</v>
      </c>
      <c r="W16" s="80" t="s">
        <v>11</v>
      </c>
      <c r="X16" s="80" t="s">
        <v>11</v>
      </c>
      <c r="Y16" s="80" t="s">
        <v>11</v>
      </c>
      <c r="Z16" s="80" t="s">
        <v>12</v>
      </c>
      <c r="AA16" s="80" t="s">
        <v>12</v>
      </c>
      <c r="AB16" s="80" t="s">
        <v>12</v>
      </c>
      <c r="AC16" s="80" t="s">
        <v>12</v>
      </c>
      <c r="AD16" s="80" t="s">
        <v>11</v>
      </c>
      <c r="AE16" s="80" t="s">
        <v>12</v>
      </c>
      <c r="AF16" s="80" t="s">
        <v>12</v>
      </c>
      <c r="AG16" s="80" t="s">
        <v>11</v>
      </c>
      <c r="AH16" s="80" t="s">
        <v>11</v>
      </c>
      <c r="AI16" s="21">
        <f t="shared" si="0"/>
        <v>0.29032258064516131</v>
      </c>
    </row>
    <row r="17" spans="1:35" ht="15.75" customHeight="1" x14ac:dyDescent="0.25">
      <c r="A17" s="180" t="s">
        <v>92</v>
      </c>
      <c r="B17" s="181"/>
      <c r="C17" s="182"/>
      <c r="D17" s="16" t="s">
        <v>12</v>
      </c>
      <c r="E17" s="16" t="s">
        <v>12</v>
      </c>
      <c r="F17" s="16" t="s">
        <v>12</v>
      </c>
      <c r="G17" s="123" t="s">
        <v>12</v>
      </c>
      <c r="H17" s="123" t="s">
        <v>12</v>
      </c>
      <c r="I17" s="123" t="s">
        <v>12</v>
      </c>
      <c r="J17" s="80" t="s">
        <v>12</v>
      </c>
      <c r="K17" s="80" t="s">
        <v>12</v>
      </c>
      <c r="L17" s="80" t="s">
        <v>12</v>
      </c>
      <c r="M17" s="80" t="s">
        <v>12</v>
      </c>
      <c r="N17" s="80" t="s">
        <v>12</v>
      </c>
      <c r="O17" s="80" t="s">
        <v>12</v>
      </c>
      <c r="P17" s="80" t="s">
        <v>12</v>
      </c>
      <c r="Q17" s="80" t="s">
        <v>11</v>
      </c>
      <c r="R17" s="80" t="s">
        <v>11</v>
      </c>
      <c r="S17" s="80" t="s">
        <v>11</v>
      </c>
      <c r="T17" s="80" t="s">
        <v>12</v>
      </c>
      <c r="U17" s="80" t="s">
        <v>12</v>
      </c>
      <c r="V17" s="80" t="s">
        <v>12</v>
      </c>
      <c r="W17" s="80" t="s">
        <v>11</v>
      </c>
      <c r="X17" s="80" t="s">
        <v>11</v>
      </c>
      <c r="Y17" s="80" t="s">
        <v>11</v>
      </c>
      <c r="Z17" s="80" t="s">
        <v>12</v>
      </c>
      <c r="AA17" s="80" t="s">
        <v>12</v>
      </c>
      <c r="AB17" s="80" t="s">
        <v>12</v>
      </c>
      <c r="AC17" s="80" t="s">
        <v>12</v>
      </c>
      <c r="AD17" s="80" t="s">
        <v>11</v>
      </c>
      <c r="AE17" s="80" t="s">
        <v>12</v>
      </c>
      <c r="AF17" s="80" t="s">
        <v>12</v>
      </c>
      <c r="AG17" s="80" t="s">
        <v>11</v>
      </c>
      <c r="AH17" s="80" t="s">
        <v>11</v>
      </c>
      <c r="AI17" s="17">
        <f t="shared" si="0"/>
        <v>0.29032258064516131</v>
      </c>
    </row>
    <row r="18" spans="1:35" ht="15.75" customHeight="1" x14ac:dyDescent="0.25">
      <c r="A18" s="174" t="s">
        <v>21</v>
      </c>
      <c r="B18" s="175"/>
      <c r="C18" s="176"/>
      <c r="D18" s="22" t="s">
        <v>12</v>
      </c>
      <c r="E18" s="22" t="s">
        <v>12</v>
      </c>
      <c r="F18" s="22" t="s">
        <v>12</v>
      </c>
      <c r="G18" s="79" t="s">
        <v>12</v>
      </c>
      <c r="H18" s="79" t="s">
        <v>12</v>
      </c>
      <c r="I18" s="124" t="s">
        <v>12</v>
      </c>
      <c r="J18" s="79" t="s">
        <v>12</v>
      </c>
      <c r="K18" s="79" t="s">
        <v>12</v>
      </c>
      <c r="L18" s="79" t="s">
        <v>12</v>
      </c>
      <c r="M18" s="79" t="s">
        <v>12</v>
      </c>
      <c r="N18" s="79" t="s">
        <v>12</v>
      </c>
      <c r="O18" s="79" t="s">
        <v>12</v>
      </c>
      <c r="P18" s="79" t="s">
        <v>12</v>
      </c>
      <c r="Q18" s="79" t="s">
        <v>11</v>
      </c>
      <c r="R18" s="79" t="s">
        <v>11</v>
      </c>
      <c r="S18" s="79" t="s">
        <v>11</v>
      </c>
      <c r="T18" s="79" t="s">
        <v>12</v>
      </c>
      <c r="U18" s="79" t="s">
        <v>12</v>
      </c>
      <c r="V18" s="79" t="s">
        <v>12</v>
      </c>
      <c r="W18" s="22" t="s">
        <v>11</v>
      </c>
      <c r="X18" s="22" t="s">
        <v>11</v>
      </c>
      <c r="Y18" s="22" t="s">
        <v>11</v>
      </c>
      <c r="Z18" s="22" t="s">
        <v>22</v>
      </c>
      <c r="AA18" s="22" t="s">
        <v>12</v>
      </c>
      <c r="AB18" s="22" t="s">
        <v>12</v>
      </c>
      <c r="AC18" s="22" t="s">
        <v>12</v>
      </c>
      <c r="AD18" s="22" t="s">
        <v>11</v>
      </c>
      <c r="AE18" s="22" t="s">
        <v>12</v>
      </c>
      <c r="AF18" s="22" t="s">
        <v>12</v>
      </c>
      <c r="AG18" s="22" t="s">
        <v>11</v>
      </c>
      <c r="AH18" s="22" t="s">
        <v>11</v>
      </c>
      <c r="AI18" s="13">
        <f t="shared" si="0"/>
        <v>0.32258064516129031</v>
      </c>
    </row>
    <row r="19" spans="1:35" ht="15.75" customHeight="1" x14ac:dyDescent="0.25">
      <c r="A19" s="177" t="s">
        <v>23</v>
      </c>
      <c r="B19" s="178"/>
      <c r="C19" s="179"/>
      <c r="D19" s="23" t="s">
        <v>12</v>
      </c>
      <c r="E19" s="23" t="s">
        <v>12</v>
      </c>
      <c r="F19" s="23" t="s">
        <v>12</v>
      </c>
      <c r="G19" s="80" t="s">
        <v>12</v>
      </c>
      <c r="H19" s="80" t="s">
        <v>12</v>
      </c>
      <c r="I19" s="80" t="s">
        <v>22</v>
      </c>
      <c r="J19" s="80" t="s">
        <v>12</v>
      </c>
      <c r="K19" s="80" t="s">
        <v>12</v>
      </c>
      <c r="L19" s="80" t="s">
        <v>12</v>
      </c>
      <c r="M19" s="80" t="s">
        <v>12</v>
      </c>
      <c r="N19" s="80" t="s">
        <v>12</v>
      </c>
      <c r="O19" s="80" t="s">
        <v>12</v>
      </c>
      <c r="P19" s="80" t="s">
        <v>12</v>
      </c>
      <c r="Q19" s="80" t="s">
        <v>11</v>
      </c>
      <c r="R19" s="80" t="s">
        <v>11</v>
      </c>
      <c r="S19" s="80" t="s">
        <v>11</v>
      </c>
      <c r="T19" s="80" t="s">
        <v>12</v>
      </c>
      <c r="U19" s="80" t="s">
        <v>12</v>
      </c>
      <c r="V19" s="80" t="s">
        <v>12</v>
      </c>
      <c r="W19" s="23" t="s">
        <v>11</v>
      </c>
      <c r="X19" s="23" t="s">
        <v>11</v>
      </c>
      <c r="Y19" s="23" t="s">
        <v>11</v>
      </c>
      <c r="Z19" s="23" t="s">
        <v>22</v>
      </c>
      <c r="AA19" s="23" t="s">
        <v>12</v>
      </c>
      <c r="AB19" s="23" t="s">
        <v>12</v>
      </c>
      <c r="AC19" s="23" t="s">
        <v>12</v>
      </c>
      <c r="AD19" s="23" t="s">
        <v>11</v>
      </c>
      <c r="AE19" s="23" t="s">
        <v>12</v>
      </c>
      <c r="AF19" s="23" t="s">
        <v>12</v>
      </c>
      <c r="AG19" s="23" t="s">
        <v>11</v>
      </c>
      <c r="AH19" s="23" t="s">
        <v>11</v>
      </c>
      <c r="AI19" s="21">
        <f t="shared" si="0"/>
        <v>0.35483870967741937</v>
      </c>
    </row>
    <row r="20" spans="1:35" ht="15.75" customHeight="1" x14ac:dyDescent="0.25">
      <c r="A20" s="177" t="s">
        <v>24</v>
      </c>
      <c r="B20" s="178"/>
      <c r="C20" s="179"/>
      <c r="D20" s="23" t="s">
        <v>12</v>
      </c>
      <c r="E20" s="23" t="s">
        <v>12</v>
      </c>
      <c r="F20" s="23" t="s">
        <v>12</v>
      </c>
      <c r="G20" s="80" t="s">
        <v>12</v>
      </c>
      <c r="H20" s="80" t="s">
        <v>12</v>
      </c>
      <c r="I20" s="80" t="s">
        <v>22</v>
      </c>
      <c r="J20" s="80" t="s">
        <v>12</v>
      </c>
      <c r="K20" s="80" t="s">
        <v>12</v>
      </c>
      <c r="L20" s="80" t="s">
        <v>12</v>
      </c>
      <c r="M20" s="80" t="s">
        <v>12</v>
      </c>
      <c r="N20" s="80" t="s">
        <v>12</v>
      </c>
      <c r="O20" s="80" t="s">
        <v>12</v>
      </c>
      <c r="P20" s="80" t="s">
        <v>12</v>
      </c>
      <c r="Q20" s="80" t="s">
        <v>11</v>
      </c>
      <c r="R20" s="80" t="s">
        <v>11</v>
      </c>
      <c r="S20" s="80" t="s">
        <v>11</v>
      </c>
      <c r="T20" s="80" t="s">
        <v>12</v>
      </c>
      <c r="U20" s="80" t="s">
        <v>12</v>
      </c>
      <c r="V20" s="80" t="s">
        <v>12</v>
      </c>
      <c r="W20" s="23" t="s">
        <v>11</v>
      </c>
      <c r="X20" s="23" t="s">
        <v>11</v>
      </c>
      <c r="Y20" s="23" t="s">
        <v>11</v>
      </c>
      <c r="Z20" s="23" t="s">
        <v>22</v>
      </c>
      <c r="AA20" s="23" t="s">
        <v>12</v>
      </c>
      <c r="AB20" s="23" t="s">
        <v>12</v>
      </c>
      <c r="AC20" s="23" t="s">
        <v>12</v>
      </c>
      <c r="AD20" s="23" t="s">
        <v>11</v>
      </c>
      <c r="AE20" s="23" t="s">
        <v>12</v>
      </c>
      <c r="AF20" s="23" t="s">
        <v>12</v>
      </c>
      <c r="AG20" s="23" t="s">
        <v>11</v>
      </c>
      <c r="AH20" s="23" t="s">
        <v>11</v>
      </c>
      <c r="AI20" s="21">
        <f t="shared" si="0"/>
        <v>0.35483870967741937</v>
      </c>
    </row>
    <row r="21" spans="1:35" ht="15.75" customHeight="1" x14ac:dyDescent="0.25">
      <c r="A21" s="180" t="s">
        <v>25</v>
      </c>
      <c r="B21" s="181"/>
      <c r="C21" s="182"/>
      <c r="D21" s="14" t="s">
        <v>12</v>
      </c>
      <c r="E21" s="14" t="s">
        <v>12</v>
      </c>
      <c r="F21" s="14" t="s">
        <v>12</v>
      </c>
      <c r="G21" s="73" t="s">
        <v>12</v>
      </c>
      <c r="H21" s="73" t="s">
        <v>12</v>
      </c>
      <c r="I21" s="73" t="s">
        <v>22</v>
      </c>
      <c r="J21" s="73" t="s">
        <v>12</v>
      </c>
      <c r="K21" s="73" t="s">
        <v>12</v>
      </c>
      <c r="L21" s="73" t="s">
        <v>12</v>
      </c>
      <c r="M21" s="73" t="s">
        <v>12</v>
      </c>
      <c r="N21" s="73" t="s">
        <v>12</v>
      </c>
      <c r="O21" s="73" t="s">
        <v>12</v>
      </c>
      <c r="P21" s="73" t="s">
        <v>12</v>
      </c>
      <c r="Q21" s="73" t="s">
        <v>11</v>
      </c>
      <c r="R21" s="73" t="s">
        <v>11</v>
      </c>
      <c r="S21" s="73" t="s">
        <v>11</v>
      </c>
      <c r="T21" s="73" t="s">
        <v>12</v>
      </c>
      <c r="U21" s="73" t="s">
        <v>12</v>
      </c>
      <c r="V21" s="73" t="s">
        <v>12</v>
      </c>
      <c r="W21" s="14" t="s">
        <v>11</v>
      </c>
      <c r="X21" s="14" t="s">
        <v>11</v>
      </c>
      <c r="Y21" s="14" t="s">
        <v>11</v>
      </c>
      <c r="Z21" s="14" t="s">
        <v>22</v>
      </c>
      <c r="AA21" s="14" t="s">
        <v>12</v>
      </c>
      <c r="AB21" s="14" t="s">
        <v>12</v>
      </c>
      <c r="AC21" s="14" t="s">
        <v>12</v>
      </c>
      <c r="AD21" s="14" t="s">
        <v>11</v>
      </c>
      <c r="AE21" s="14" t="s">
        <v>12</v>
      </c>
      <c r="AF21" s="14" t="s">
        <v>12</v>
      </c>
      <c r="AG21" s="14" t="s">
        <v>11</v>
      </c>
      <c r="AH21" s="14" t="s">
        <v>11</v>
      </c>
      <c r="AI21" s="17">
        <f t="shared" si="0"/>
        <v>0.35483870967741937</v>
      </c>
    </row>
    <row r="22" spans="1:35" ht="15.75" customHeight="1" x14ac:dyDescent="0.25">
      <c r="A22" s="162" t="s">
        <v>26</v>
      </c>
      <c r="B22" s="163"/>
      <c r="C22" s="164"/>
      <c r="D22" s="24" t="s">
        <v>12</v>
      </c>
      <c r="E22" s="24" t="s">
        <v>12</v>
      </c>
      <c r="F22" s="24" t="s">
        <v>12</v>
      </c>
      <c r="G22" s="81" t="s">
        <v>12</v>
      </c>
      <c r="H22" s="81" t="s">
        <v>12</v>
      </c>
      <c r="I22" s="81" t="s">
        <v>12</v>
      </c>
      <c r="J22" s="81" t="s">
        <v>12</v>
      </c>
      <c r="K22" s="81" t="s">
        <v>12</v>
      </c>
      <c r="L22" s="81" t="s">
        <v>12</v>
      </c>
      <c r="M22" s="81" t="s">
        <v>12</v>
      </c>
      <c r="N22" s="81" t="s">
        <v>12</v>
      </c>
      <c r="O22" s="81" t="s">
        <v>12</v>
      </c>
      <c r="P22" s="81" t="s">
        <v>12</v>
      </c>
      <c r="Q22" s="81" t="s">
        <v>12</v>
      </c>
      <c r="R22" s="81" t="s">
        <v>12</v>
      </c>
      <c r="S22" s="81" t="s">
        <v>22</v>
      </c>
      <c r="T22" s="24" t="s">
        <v>12</v>
      </c>
      <c r="U22" s="24" t="s">
        <v>22</v>
      </c>
      <c r="V22" s="24" t="s">
        <v>12</v>
      </c>
      <c r="W22" s="24" t="s">
        <v>12</v>
      </c>
      <c r="X22" s="24" t="s">
        <v>12</v>
      </c>
      <c r="Y22" s="24" t="s">
        <v>12</v>
      </c>
      <c r="Z22" s="24" t="s">
        <v>12</v>
      </c>
      <c r="AA22" s="24" t="s">
        <v>22</v>
      </c>
      <c r="AB22" s="24" t="s">
        <v>22</v>
      </c>
      <c r="AC22" s="24" t="s">
        <v>22</v>
      </c>
      <c r="AD22" s="81" t="s">
        <v>12</v>
      </c>
      <c r="AE22" s="81" t="s">
        <v>12</v>
      </c>
      <c r="AF22" s="81" t="s">
        <v>12</v>
      </c>
      <c r="AG22" s="81" t="s">
        <v>12</v>
      </c>
      <c r="AH22" s="81" t="s">
        <v>12</v>
      </c>
      <c r="AI22" s="19">
        <f t="shared" si="0"/>
        <v>0.16129032258064516</v>
      </c>
    </row>
    <row r="23" spans="1:35" ht="15.75" customHeight="1" x14ac:dyDescent="0.25">
      <c r="A23" s="174" t="s">
        <v>27</v>
      </c>
      <c r="B23" s="175"/>
      <c r="C23" s="176"/>
      <c r="D23" s="79" t="s">
        <v>11</v>
      </c>
      <c r="E23" s="79" t="s">
        <v>11</v>
      </c>
      <c r="F23" s="79" t="s">
        <v>11</v>
      </c>
      <c r="G23" s="124" t="s">
        <v>12</v>
      </c>
      <c r="H23" s="124" t="s">
        <v>12</v>
      </c>
      <c r="I23" s="124" t="s">
        <v>11</v>
      </c>
      <c r="J23" s="124" t="s">
        <v>11</v>
      </c>
      <c r="K23" s="124" t="s">
        <v>11</v>
      </c>
      <c r="L23" s="124" t="s">
        <v>12</v>
      </c>
      <c r="M23" s="124" t="s">
        <v>12</v>
      </c>
      <c r="N23" s="124" t="s">
        <v>12</v>
      </c>
      <c r="O23" s="124" t="s">
        <v>12</v>
      </c>
      <c r="P23" s="124" t="s">
        <v>12</v>
      </c>
      <c r="Q23" s="79" t="s">
        <v>11</v>
      </c>
      <c r="R23" s="79" t="s">
        <v>11</v>
      </c>
      <c r="S23" s="79" t="s">
        <v>11</v>
      </c>
      <c r="T23" s="22" t="s">
        <v>11</v>
      </c>
      <c r="U23" s="22" t="s">
        <v>12</v>
      </c>
      <c r="V23" s="22" t="s">
        <v>12</v>
      </c>
      <c r="W23" s="22" t="s">
        <v>11</v>
      </c>
      <c r="X23" s="22" t="s">
        <v>11</v>
      </c>
      <c r="Y23" s="22" t="s">
        <v>11</v>
      </c>
      <c r="Z23" s="22" t="s">
        <v>11</v>
      </c>
      <c r="AA23" s="22" t="s">
        <v>11</v>
      </c>
      <c r="AB23" s="22" t="s">
        <v>11</v>
      </c>
      <c r="AC23" s="22" t="s">
        <v>11</v>
      </c>
      <c r="AD23" s="22" t="s">
        <v>11</v>
      </c>
      <c r="AE23" s="22" t="s">
        <v>11</v>
      </c>
      <c r="AF23" s="22" t="s">
        <v>11</v>
      </c>
      <c r="AG23" s="22" t="s">
        <v>11</v>
      </c>
      <c r="AH23" s="22" t="s">
        <v>11</v>
      </c>
      <c r="AI23" s="13">
        <f t="shared" si="0"/>
        <v>0.70967741935483875</v>
      </c>
    </row>
    <row r="24" spans="1:35" ht="15.75" customHeight="1" x14ac:dyDescent="0.25">
      <c r="A24" s="180" t="s">
        <v>28</v>
      </c>
      <c r="B24" s="181"/>
      <c r="C24" s="182"/>
      <c r="D24" s="73" t="s">
        <v>11</v>
      </c>
      <c r="E24" s="73" t="s">
        <v>11</v>
      </c>
      <c r="F24" s="73" t="s">
        <v>11</v>
      </c>
      <c r="G24" s="125" t="s">
        <v>12</v>
      </c>
      <c r="H24" s="125" t="s">
        <v>12</v>
      </c>
      <c r="I24" s="125" t="s">
        <v>11</v>
      </c>
      <c r="J24" s="125" t="s">
        <v>11</v>
      </c>
      <c r="K24" s="125" t="s">
        <v>11</v>
      </c>
      <c r="L24" s="125" t="s">
        <v>12</v>
      </c>
      <c r="M24" s="125" t="s">
        <v>12</v>
      </c>
      <c r="N24" s="125" t="s">
        <v>12</v>
      </c>
      <c r="O24" s="125" t="s">
        <v>12</v>
      </c>
      <c r="P24" s="125" t="s">
        <v>12</v>
      </c>
      <c r="Q24" s="73" t="s">
        <v>11</v>
      </c>
      <c r="R24" s="73" t="s">
        <v>11</v>
      </c>
      <c r="S24" s="73" t="s">
        <v>11</v>
      </c>
      <c r="T24" s="14" t="s">
        <v>11</v>
      </c>
      <c r="U24" s="14" t="s">
        <v>12</v>
      </c>
      <c r="V24" s="14" t="s">
        <v>12</v>
      </c>
      <c r="W24" s="14" t="s">
        <v>11</v>
      </c>
      <c r="X24" s="14" t="s">
        <v>11</v>
      </c>
      <c r="Y24" s="14" t="s">
        <v>11</v>
      </c>
      <c r="Z24" s="14" t="s">
        <v>11</v>
      </c>
      <c r="AA24" s="14" t="s">
        <v>11</v>
      </c>
      <c r="AB24" s="14" t="s">
        <v>11</v>
      </c>
      <c r="AC24" s="14" t="s">
        <v>11</v>
      </c>
      <c r="AD24" s="14" t="s">
        <v>11</v>
      </c>
      <c r="AE24" s="14" t="s">
        <v>11</v>
      </c>
      <c r="AF24" s="14" t="s">
        <v>11</v>
      </c>
      <c r="AG24" s="14" t="s">
        <v>11</v>
      </c>
      <c r="AH24" s="14" t="s">
        <v>11</v>
      </c>
      <c r="AI24" s="17">
        <f t="shared" si="0"/>
        <v>0.70967741935483875</v>
      </c>
    </row>
    <row r="25" spans="1:35" ht="15.75" customHeight="1" x14ac:dyDescent="0.25">
      <c r="A25" s="162" t="s">
        <v>29</v>
      </c>
      <c r="B25" s="163"/>
      <c r="C25" s="164"/>
      <c r="D25" s="26" t="s">
        <v>22</v>
      </c>
      <c r="E25" s="26" t="s">
        <v>22</v>
      </c>
      <c r="F25" s="26" t="s">
        <v>22</v>
      </c>
      <c r="G25" s="26" t="s">
        <v>22</v>
      </c>
      <c r="H25" s="26" t="s">
        <v>22</v>
      </c>
      <c r="I25" s="26" t="s">
        <v>22</v>
      </c>
      <c r="J25" s="81" t="s">
        <v>22</v>
      </c>
      <c r="K25" s="81" t="s">
        <v>22</v>
      </c>
      <c r="L25" s="81" t="s">
        <v>12</v>
      </c>
      <c r="M25" s="81" t="s">
        <v>12</v>
      </c>
      <c r="N25" s="81" t="s">
        <v>12</v>
      </c>
      <c r="O25" s="81" t="s">
        <v>12</v>
      </c>
      <c r="P25" s="81" t="s">
        <v>12</v>
      </c>
      <c r="Q25" s="81" t="s">
        <v>12</v>
      </c>
      <c r="R25" s="81" t="s">
        <v>12</v>
      </c>
      <c r="S25" s="81" t="s">
        <v>12</v>
      </c>
      <c r="T25" s="101" t="s">
        <v>22</v>
      </c>
      <c r="U25" s="101" t="s">
        <v>12</v>
      </c>
      <c r="V25" s="101" t="s">
        <v>12</v>
      </c>
      <c r="W25" s="101" t="s">
        <v>22</v>
      </c>
      <c r="X25" s="101" t="s">
        <v>11</v>
      </c>
      <c r="Y25" s="101" t="s">
        <v>11</v>
      </c>
      <c r="Z25" s="101" t="s">
        <v>22</v>
      </c>
      <c r="AA25" s="101" t="s">
        <v>12</v>
      </c>
      <c r="AB25" s="101" t="s">
        <v>12</v>
      </c>
      <c r="AC25" s="101" t="s">
        <v>12</v>
      </c>
      <c r="AD25" s="101" t="s">
        <v>11</v>
      </c>
      <c r="AE25" s="101" t="s">
        <v>11</v>
      </c>
      <c r="AF25" s="101" t="s">
        <v>11</v>
      </c>
      <c r="AG25" s="101" t="s">
        <v>11</v>
      </c>
      <c r="AH25" s="101" t="s">
        <v>11</v>
      </c>
      <c r="AI25" s="19">
        <f t="shared" si="0"/>
        <v>0.58064516129032262</v>
      </c>
    </row>
    <row r="26" spans="1:35" ht="15.75" customHeight="1" x14ac:dyDescent="0.25">
      <c r="A26" s="162" t="s">
        <v>30</v>
      </c>
      <c r="B26" s="163"/>
      <c r="C26" s="164"/>
      <c r="D26" s="81" t="s">
        <v>22</v>
      </c>
      <c r="E26" s="81" t="s">
        <v>22</v>
      </c>
      <c r="F26" s="81" t="s">
        <v>22</v>
      </c>
      <c r="G26" s="81" t="s">
        <v>22</v>
      </c>
      <c r="H26" s="81" t="s">
        <v>22</v>
      </c>
      <c r="I26" s="81" t="s">
        <v>22</v>
      </c>
      <c r="J26" s="81" t="s">
        <v>22</v>
      </c>
      <c r="K26" s="81" t="s">
        <v>22</v>
      </c>
      <c r="L26" s="81" t="s">
        <v>12</v>
      </c>
      <c r="M26" s="81" t="s">
        <v>12</v>
      </c>
      <c r="N26" s="81" t="s">
        <v>12</v>
      </c>
      <c r="O26" s="81" t="s">
        <v>12</v>
      </c>
      <c r="P26" s="81" t="s">
        <v>12</v>
      </c>
      <c r="Q26" s="81" t="s">
        <v>12</v>
      </c>
      <c r="R26" s="81" t="s">
        <v>12</v>
      </c>
      <c r="S26" s="81" t="s">
        <v>12</v>
      </c>
      <c r="T26" s="81" t="s">
        <v>22</v>
      </c>
      <c r="U26" s="81" t="s">
        <v>12</v>
      </c>
      <c r="V26" s="81" t="s">
        <v>12</v>
      </c>
      <c r="W26" s="81" t="s">
        <v>22</v>
      </c>
      <c r="X26" s="81" t="s">
        <v>11</v>
      </c>
      <c r="Y26" s="81" t="s">
        <v>11</v>
      </c>
      <c r="Z26" s="81" t="s">
        <v>22</v>
      </c>
      <c r="AA26" s="81" t="s">
        <v>12</v>
      </c>
      <c r="AB26" s="81" t="s">
        <v>12</v>
      </c>
      <c r="AC26" s="81" t="s">
        <v>12</v>
      </c>
      <c r="AD26" s="81" t="s">
        <v>11</v>
      </c>
      <c r="AE26" s="81" t="s">
        <v>11</v>
      </c>
      <c r="AF26" s="81" t="s">
        <v>11</v>
      </c>
      <c r="AG26" s="81" t="s">
        <v>11</v>
      </c>
      <c r="AH26" s="81" t="s">
        <v>11</v>
      </c>
      <c r="AI26" s="19">
        <f t="shared" si="0"/>
        <v>0.58064516129032262</v>
      </c>
    </row>
    <row r="27" spans="1:35" ht="15.75" customHeight="1" x14ac:dyDescent="0.25">
      <c r="A27" s="156" t="s">
        <v>31</v>
      </c>
      <c r="B27" s="157"/>
      <c r="C27" s="158"/>
      <c r="D27" s="72" t="s">
        <v>12</v>
      </c>
      <c r="E27" s="72" t="s">
        <v>12</v>
      </c>
      <c r="F27" s="72" t="s">
        <v>12</v>
      </c>
      <c r="G27" s="72" t="s">
        <v>12</v>
      </c>
      <c r="H27" s="72" t="s">
        <v>12</v>
      </c>
      <c r="I27" s="72" t="s">
        <v>12</v>
      </c>
      <c r="J27" s="72" t="s">
        <v>12</v>
      </c>
      <c r="K27" s="72" t="s">
        <v>12</v>
      </c>
      <c r="L27" s="72" t="s">
        <v>12</v>
      </c>
      <c r="M27" s="72" t="s">
        <v>12</v>
      </c>
      <c r="N27" s="72" t="s">
        <v>12</v>
      </c>
      <c r="O27" s="72" t="s">
        <v>12</v>
      </c>
      <c r="P27" s="72" t="s">
        <v>12</v>
      </c>
      <c r="Q27" s="72" t="s">
        <v>22</v>
      </c>
      <c r="R27" s="72" t="s">
        <v>22</v>
      </c>
      <c r="S27" s="72" t="s">
        <v>22</v>
      </c>
      <c r="T27" s="27" t="s">
        <v>12</v>
      </c>
      <c r="U27" s="27" t="s">
        <v>12</v>
      </c>
      <c r="V27" s="27" t="s">
        <v>12</v>
      </c>
      <c r="W27" s="27" t="s">
        <v>12</v>
      </c>
      <c r="X27" s="27" t="s">
        <v>12</v>
      </c>
      <c r="Y27" s="27" t="s">
        <v>12</v>
      </c>
      <c r="Z27" s="27" t="s">
        <v>12</v>
      </c>
      <c r="AA27" s="27" t="s">
        <v>12</v>
      </c>
      <c r="AB27" s="27" t="s">
        <v>12</v>
      </c>
      <c r="AC27" s="27" t="s">
        <v>12</v>
      </c>
      <c r="AD27" s="27" t="s">
        <v>12</v>
      </c>
      <c r="AE27" s="72" t="s">
        <v>12</v>
      </c>
      <c r="AF27" s="72" t="s">
        <v>12</v>
      </c>
      <c r="AG27" s="72" t="s">
        <v>12</v>
      </c>
      <c r="AH27" s="72" t="s">
        <v>12</v>
      </c>
      <c r="AI27" s="13">
        <f t="shared" si="0"/>
        <v>9.6774193548387094E-2</v>
      </c>
    </row>
    <row r="28" spans="1:35" ht="15.75" customHeight="1" x14ac:dyDescent="0.25">
      <c r="A28" s="183" t="s">
        <v>32</v>
      </c>
      <c r="B28" s="184"/>
      <c r="C28" s="185"/>
      <c r="D28" s="82">
        <v>2</v>
      </c>
      <c r="E28" s="82">
        <v>2</v>
      </c>
      <c r="F28" s="82">
        <v>2</v>
      </c>
      <c r="G28" s="82">
        <v>2</v>
      </c>
      <c r="H28" s="82">
        <v>2</v>
      </c>
      <c r="I28" s="82">
        <v>2</v>
      </c>
      <c r="J28" s="82">
        <v>2</v>
      </c>
      <c r="K28" s="82">
        <v>2</v>
      </c>
      <c r="L28" s="82">
        <v>2</v>
      </c>
      <c r="M28" s="82">
        <v>2</v>
      </c>
      <c r="N28" s="82" t="s">
        <v>114</v>
      </c>
      <c r="O28" s="82" t="s">
        <v>114</v>
      </c>
      <c r="P28" s="82">
        <v>2</v>
      </c>
      <c r="Q28" s="82">
        <v>2</v>
      </c>
      <c r="R28" s="82">
        <v>2</v>
      </c>
      <c r="S28" s="82">
        <v>2</v>
      </c>
      <c r="T28" s="75">
        <v>2</v>
      </c>
      <c r="U28" s="75">
        <v>2</v>
      </c>
      <c r="V28" s="75">
        <v>2</v>
      </c>
      <c r="W28" s="75">
        <v>2</v>
      </c>
      <c r="X28" s="75">
        <v>2</v>
      </c>
      <c r="Y28" s="75">
        <v>2</v>
      </c>
      <c r="Z28" s="75">
        <v>2</v>
      </c>
      <c r="AA28" s="75">
        <v>2</v>
      </c>
      <c r="AB28" s="75">
        <v>2</v>
      </c>
      <c r="AC28" s="75">
        <v>2</v>
      </c>
      <c r="AD28" s="75">
        <v>2</v>
      </c>
      <c r="AE28" s="28">
        <v>2</v>
      </c>
      <c r="AF28" s="28">
        <v>2</v>
      </c>
      <c r="AG28" s="28">
        <v>2</v>
      </c>
      <c r="AH28" s="28">
        <v>2</v>
      </c>
      <c r="AI28" s="17">
        <f>IF(COUNTA(D28:AH28)&gt;0,(COUNTA(D28:AH28)-COUNTIF(D28:AH28,"NB")-COUNTIF(D28:AH28,"DN")-COUNTIF(D28:AH28,"An")-COUNTIF(D28:AH28,"NB^")-COUNTIF(D28:AH28,0))/COUNTA(D28:AH28),"")</f>
        <v>1</v>
      </c>
    </row>
    <row r="29" spans="1:35" ht="15.75" customHeight="1" x14ac:dyDescent="0.25">
      <c r="A29" s="171" t="s">
        <v>97</v>
      </c>
      <c r="B29" s="172"/>
      <c r="C29" s="173"/>
      <c r="D29" s="29">
        <v>0</v>
      </c>
      <c r="E29" s="29">
        <v>0.3</v>
      </c>
      <c r="F29" s="29">
        <v>0.3</v>
      </c>
      <c r="G29" s="83">
        <v>0</v>
      </c>
      <c r="H29" s="83">
        <v>0</v>
      </c>
      <c r="I29" s="83">
        <v>0</v>
      </c>
      <c r="J29" s="83">
        <v>0</v>
      </c>
      <c r="K29" s="83">
        <v>0</v>
      </c>
      <c r="L29" s="83">
        <v>0</v>
      </c>
      <c r="M29" s="83">
        <v>0</v>
      </c>
      <c r="N29" s="83">
        <v>0</v>
      </c>
      <c r="O29" s="83">
        <v>0</v>
      </c>
      <c r="P29" s="83">
        <v>0</v>
      </c>
      <c r="Q29" s="83">
        <v>0</v>
      </c>
      <c r="R29" s="83">
        <v>0</v>
      </c>
      <c r="S29" s="83">
        <v>0</v>
      </c>
      <c r="T29" s="83">
        <v>0</v>
      </c>
      <c r="U29" s="83">
        <v>0</v>
      </c>
      <c r="V29" s="83">
        <v>0</v>
      </c>
      <c r="W29" s="83">
        <v>0</v>
      </c>
      <c r="X29" s="130">
        <v>0</v>
      </c>
      <c r="Y29" s="130">
        <v>0</v>
      </c>
      <c r="Z29" s="130">
        <v>0</v>
      </c>
      <c r="AA29" s="130">
        <v>0</v>
      </c>
      <c r="AB29" s="130">
        <v>0</v>
      </c>
      <c r="AC29" s="130">
        <v>0</v>
      </c>
      <c r="AD29" s="130">
        <v>5</v>
      </c>
      <c r="AE29" s="29">
        <v>2</v>
      </c>
      <c r="AF29" s="29">
        <v>0</v>
      </c>
      <c r="AG29" s="29">
        <v>0</v>
      </c>
      <c r="AH29" s="29">
        <v>0</v>
      </c>
      <c r="AI29" s="19">
        <f>IF(COUNTA(D29:AH29)&gt;0,(COUNTA(D29:AH29)-COUNTIF(D29:AH29,"NB")-COUNTIF(D29:AH29,"DN")-COUNTIF(D29:AH29,"An")-COUNTIF(D29:AH29,"NB^")-COUNTIF(D29:AH29,0))/COUNTA(D29:AH29),"")</f>
        <v>0.12903225806451613</v>
      </c>
    </row>
    <row r="30" spans="1:35" ht="15.75" customHeight="1" x14ac:dyDescent="0.25">
      <c r="A30" s="153" t="s">
        <v>33</v>
      </c>
      <c r="B30" s="154"/>
      <c r="C30" s="155"/>
      <c r="D30" s="84" t="s">
        <v>12</v>
      </c>
      <c r="E30" s="84" t="s">
        <v>12</v>
      </c>
      <c r="F30" s="84" t="s">
        <v>12</v>
      </c>
      <c r="G30" s="84" t="s">
        <v>12</v>
      </c>
      <c r="H30" s="84" t="s">
        <v>12</v>
      </c>
      <c r="I30" s="84" t="s">
        <v>12</v>
      </c>
      <c r="J30" s="84" t="s">
        <v>12</v>
      </c>
      <c r="K30" s="84" t="s">
        <v>12</v>
      </c>
      <c r="L30" s="84" t="s">
        <v>12</v>
      </c>
      <c r="M30" s="84" t="s">
        <v>12</v>
      </c>
      <c r="N30" s="84" t="s">
        <v>12</v>
      </c>
      <c r="O30" s="84" t="s">
        <v>12</v>
      </c>
      <c r="P30" s="84" t="s">
        <v>12</v>
      </c>
      <c r="Q30" s="84" t="s">
        <v>12</v>
      </c>
      <c r="R30" s="84" t="s">
        <v>12</v>
      </c>
      <c r="S30" s="84" t="s">
        <v>12</v>
      </c>
      <c r="T30" s="84" t="s">
        <v>12</v>
      </c>
      <c r="U30" s="84" t="s">
        <v>12</v>
      </c>
      <c r="V30" s="84" t="s">
        <v>12</v>
      </c>
      <c r="W30" s="84" t="s">
        <v>12</v>
      </c>
      <c r="X30" s="84" t="s">
        <v>12</v>
      </c>
      <c r="Y30" s="84" t="s">
        <v>9</v>
      </c>
      <c r="Z30" s="84" t="s">
        <v>22</v>
      </c>
      <c r="AA30" s="84" t="s">
        <v>12</v>
      </c>
      <c r="AB30" s="84" t="s">
        <v>12</v>
      </c>
      <c r="AC30" s="84" t="s">
        <v>12</v>
      </c>
      <c r="AD30" s="84" t="s">
        <v>12</v>
      </c>
      <c r="AE30" s="84" t="s">
        <v>12</v>
      </c>
      <c r="AF30" s="84" t="s">
        <v>12</v>
      </c>
      <c r="AG30" s="84" t="s">
        <v>12</v>
      </c>
      <c r="AH30" s="84" t="s">
        <v>12</v>
      </c>
      <c r="AI30" s="19">
        <f>IF(COUNTA(D30:AH30)&gt;0,(COUNTA(D30:AH30)-COUNTIF(D30:AH30,"NB")-COUNTIF(D30:AH30,"DN")-COUNTIF(D30:AH30,"An")-COUNTIF(D30:AH30,"NB^")-COUNTIF(D30:AH30,0))/COUNTA(D30:AH30),"")</f>
        <v>6.4516129032258063E-2</v>
      </c>
    </row>
    <row r="31" spans="1:35" ht="15.75" customHeight="1" x14ac:dyDescent="0.25">
      <c r="A31" s="156" t="s">
        <v>34</v>
      </c>
      <c r="B31" s="157"/>
      <c r="C31" s="158"/>
      <c r="D31" s="72" t="s">
        <v>12</v>
      </c>
      <c r="E31" s="72" t="s">
        <v>12</v>
      </c>
      <c r="F31" s="72" t="s">
        <v>12</v>
      </c>
      <c r="G31" s="72" t="s">
        <v>12</v>
      </c>
      <c r="H31" s="72" t="s">
        <v>12</v>
      </c>
      <c r="I31" s="72" t="s">
        <v>12</v>
      </c>
      <c r="J31" s="72" t="s">
        <v>12</v>
      </c>
      <c r="K31" s="72" t="s">
        <v>12</v>
      </c>
      <c r="L31" s="72" t="s">
        <v>12</v>
      </c>
      <c r="M31" s="72" t="s">
        <v>12</v>
      </c>
      <c r="N31" s="72" t="s">
        <v>12</v>
      </c>
      <c r="O31" s="72" t="s">
        <v>12</v>
      </c>
      <c r="P31" s="72" t="s">
        <v>12</v>
      </c>
      <c r="Q31" s="72" t="s">
        <v>12</v>
      </c>
      <c r="R31" s="72" t="s">
        <v>12</v>
      </c>
      <c r="S31" s="72" t="s">
        <v>12</v>
      </c>
      <c r="T31" s="72" t="s">
        <v>12</v>
      </c>
      <c r="U31" s="72" t="s">
        <v>12</v>
      </c>
      <c r="V31" s="72" t="s">
        <v>12</v>
      </c>
      <c r="W31" s="72" t="s">
        <v>12</v>
      </c>
      <c r="X31" s="72" t="s">
        <v>12</v>
      </c>
      <c r="Y31" s="72" t="s">
        <v>12</v>
      </c>
      <c r="Z31" s="72" t="s">
        <v>12</v>
      </c>
      <c r="AA31" s="72" t="s">
        <v>12</v>
      </c>
      <c r="AB31" s="72" t="s">
        <v>12</v>
      </c>
      <c r="AC31" s="72" t="s">
        <v>12</v>
      </c>
      <c r="AD31" s="72" t="s">
        <v>12</v>
      </c>
      <c r="AE31" s="72" t="s">
        <v>12</v>
      </c>
      <c r="AF31" s="72" t="s">
        <v>12</v>
      </c>
      <c r="AG31" s="72" t="s">
        <v>12</v>
      </c>
      <c r="AH31" s="72" t="s">
        <v>12</v>
      </c>
      <c r="AI31" s="13">
        <f>IF(COUNTA(D31:AH31)&gt;0,(COUNTA(D31:AH31)-COUNTIF(D31:AH31,"NB")-COUNTIF(D31:AH31,"DN")-COUNTIF(D31:AH31,"An")-COUNTIF(D31:AH31,"NB^")-COUNTIF(D31:AH31,0))/COUNTA(D31:AH31),"")</f>
        <v>0</v>
      </c>
    </row>
    <row r="32" spans="1:35" ht="15.75" customHeight="1" x14ac:dyDescent="0.25">
      <c r="A32" s="159" t="s">
        <v>35</v>
      </c>
      <c r="B32" s="160"/>
      <c r="C32" s="161"/>
      <c r="D32" s="85" t="s">
        <v>12</v>
      </c>
      <c r="E32" s="85" t="s">
        <v>12</v>
      </c>
      <c r="F32" s="85" t="s">
        <v>12</v>
      </c>
      <c r="G32" s="85" t="s">
        <v>12</v>
      </c>
      <c r="H32" s="85" t="s">
        <v>12</v>
      </c>
      <c r="I32" s="85" t="s">
        <v>12</v>
      </c>
      <c r="J32" s="85" t="s">
        <v>12</v>
      </c>
      <c r="K32" s="85" t="s">
        <v>12</v>
      </c>
      <c r="L32" s="85" t="s">
        <v>12</v>
      </c>
      <c r="M32" s="85" t="s">
        <v>12</v>
      </c>
      <c r="N32" s="85" t="s">
        <v>12</v>
      </c>
      <c r="O32" s="85" t="s">
        <v>12</v>
      </c>
      <c r="P32" s="85" t="s">
        <v>12</v>
      </c>
      <c r="Q32" s="85" t="s">
        <v>12</v>
      </c>
      <c r="R32" s="85" t="s">
        <v>12</v>
      </c>
      <c r="S32" s="85" t="s">
        <v>12</v>
      </c>
      <c r="T32" s="85" t="s">
        <v>12</v>
      </c>
      <c r="U32" s="85" t="s">
        <v>12</v>
      </c>
      <c r="V32" s="85" t="s">
        <v>12</v>
      </c>
      <c r="W32" s="85" t="s">
        <v>12</v>
      </c>
      <c r="X32" s="85" t="s">
        <v>12</v>
      </c>
      <c r="Y32" s="85" t="s">
        <v>12</v>
      </c>
      <c r="Z32" s="85" t="s">
        <v>12</v>
      </c>
      <c r="AA32" s="85" t="s">
        <v>12</v>
      </c>
      <c r="AB32" s="85" t="s">
        <v>12</v>
      </c>
      <c r="AC32" s="85" t="s">
        <v>12</v>
      </c>
      <c r="AD32" s="85" t="s">
        <v>12</v>
      </c>
      <c r="AE32" s="85" t="s">
        <v>12</v>
      </c>
      <c r="AF32" s="85" t="s">
        <v>12</v>
      </c>
      <c r="AG32" s="85" t="s">
        <v>12</v>
      </c>
      <c r="AH32" s="85" t="s">
        <v>12</v>
      </c>
      <c r="AI32" s="17">
        <f t="shared" si="0"/>
        <v>0</v>
      </c>
    </row>
    <row r="33" spans="1:44" ht="15.75" customHeight="1" x14ac:dyDescent="0.25">
      <c r="A33" s="162" t="s">
        <v>36</v>
      </c>
      <c r="B33" s="163"/>
      <c r="C33" s="164"/>
      <c r="D33" s="24" t="s">
        <v>12</v>
      </c>
      <c r="E33" s="24" t="s">
        <v>12</v>
      </c>
      <c r="F33" s="24" t="s">
        <v>12</v>
      </c>
      <c r="G33" s="81" t="s">
        <v>12</v>
      </c>
      <c r="H33" s="81" t="s">
        <v>12</v>
      </c>
      <c r="I33" s="81" t="s">
        <v>12</v>
      </c>
      <c r="J33" s="81" t="s">
        <v>12</v>
      </c>
      <c r="K33" s="81" t="s">
        <v>12</v>
      </c>
      <c r="L33" s="81" t="s">
        <v>12</v>
      </c>
      <c r="M33" s="81" t="s">
        <v>12</v>
      </c>
      <c r="N33" s="81" t="s">
        <v>12</v>
      </c>
      <c r="O33" s="81" t="s">
        <v>12</v>
      </c>
      <c r="P33" s="81" t="s">
        <v>12</v>
      </c>
      <c r="Q33" s="81" t="s">
        <v>12</v>
      </c>
      <c r="R33" s="81" t="s">
        <v>12</v>
      </c>
      <c r="S33" s="81" t="s">
        <v>12</v>
      </c>
      <c r="T33" s="81" t="s">
        <v>12</v>
      </c>
      <c r="U33" s="81" t="s">
        <v>12</v>
      </c>
      <c r="V33" s="81" t="s">
        <v>12</v>
      </c>
      <c r="W33" s="81" t="s">
        <v>12</v>
      </c>
      <c r="X33" s="81" t="s">
        <v>12</v>
      </c>
      <c r="Y33" s="81" t="s">
        <v>12</v>
      </c>
      <c r="Z33" s="81" t="s">
        <v>12</v>
      </c>
      <c r="AA33" s="81" t="s">
        <v>12</v>
      </c>
      <c r="AB33" s="81" t="s">
        <v>12</v>
      </c>
      <c r="AC33" s="81" t="s">
        <v>12</v>
      </c>
      <c r="AD33" s="81" t="s">
        <v>12</v>
      </c>
      <c r="AE33" s="81" t="s">
        <v>12</v>
      </c>
      <c r="AF33" s="81" t="s">
        <v>12</v>
      </c>
      <c r="AG33" s="81" t="s">
        <v>12</v>
      </c>
      <c r="AH33" s="81" t="s">
        <v>12</v>
      </c>
      <c r="AI33" s="19">
        <f t="shared" si="0"/>
        <v>0</v>
      </c>
    </row>
    <row r="34" spans="1:44" ht="15.75" customHeight="1" x14ac:dyDescent="0.25">
      <c r="A34" s="162" t="s">
        <v>95</v>
      </c>
      <c r="B34" s="163"/>
      <c r="C34" s="164"/>
      <c r="D34" s="24" t="s">
        <v>12</v>
      </c>
      <c r="E34" s="24" t="s">
        <v>12</v>
      </c>
      <c r="F34" s="24" t="s">
        <v>12</v>
      </c>
      <c r="G34" s="81" t="s">
        <v>12</v>
      </c>
      <c r="H34" s="81" t="s">
        <v>12</v>
      </c>
      <c r="I34" s="81" t="s">
        <v>12</v>
      </c>
      <c r="J34" s="81" t="s">
        <v>12</v>
      </c>
      <c r="K34" s="81" t="s">
        <v>12</v>
      </c>
      <c r="L34" s="81" t="s">
        <v>12</v>
      </c>
      <c r="M34" s="81" t="s">
        <v>12</v>
      </c>
      <c r="N34" s="81" t="s">
        <v>12</v>
      </c>
      <c r="O34" s="81" t="s">
        <v>12</v>
      </c>
      <c r="P34" s="81" t="s">
        <v>12</v>
      </c>
      <c r="Q34" s="81" t="s">
        <v>12</v>
      </c>
      <c r="R34" s="81" t="s">
        <v>12</v>
      </c>
      <c r="S34" s="81" t="s">
        <v>12</v>
      </c>
      <c r="T34" s="81" t="s">
        <v>12</v>
      </c>
      <c r="U34" s="81" t="s">
        <v>12</v>
      </c>
      <c r="V34" s="81" t="s">
        <v>12</v>
      </c>
      <c r="W34" s="81" t="s">
        <v>12</v>
      </c>
      <c r="X34" s="24" t="s">
        <v>12</v>
      </c>
      <c r="Y34" s="24" t="s">
        <v>12</v>
      </c>
      <c r="Z34" s="24" t="s">
        <v>12</v>
      </c>
      <c r="AA34" s="24" t="s">
        <v>12</v>
      </c>
      <c r="AB34" s="24" t="s">
        <v>12</v>
      </c>
      <c r="AC34" s="24" t="s">
        <v>12</v>
      </c>
      <c r="AD34" s="24" t="s">
        <v>12</v>
      </c>
      <c r="AE34" s="24" t="s">
        <v>12</v>
      </c>
      <c r="AF34" s="24" t="s">
        <v>12</v>
      </c>
      <c r="AG34" s="24" t="s">
        <v>12</v>
      </c>
      <c r="AH34" s="24" t="s">
        <v>12</v>
      </c>
      <c r="AI34" s="19">
        <f t="shared" si="0"/>
        <v>0</v>
      </c>
    </row>
    <row r="35" spans="1:44" ht="15.75" customHeight="1" thickBot="1" x14ac:dyDescent="0.3">
      <c r="A35" s="165" t="s">
        <v>96</v>
      </c>
      <c r="B35" s="166"/>
      <c r="C35" s="167"/>
      <c r="D35" s="96" t="s">
        <v>12</v>
      </c>
      <c r="E35" s="96" t="s">
        <v>12</v>
      </c>
      <c r="F35" s="96" t="s">
        <v>12</v>
      </c>
      <c r="G35" s="95" t="s">
        <v>12</v>
      </c>
      <c r="H35" s="95" t="s">
        <v>12</v>
      </c>
      <c r="I35" s="95" t="s">
        <v>12</v>
      </c>
      <c r="J35" s="95" t="s">
        <v>12</v>
      </c>
      <c r="K35" s="95" t="s">
        <v>12</v>
      </c>
      <c r="L35" s="95" t="s">
        <v>12</v>
      </c>
      <c r="M35" s="95" t="s">
        <v>12</v>
      </c>
      <c r="N35" s="95" t="s">
        <v>12</v>
      </c>
      <c r="O35" s="95" t="s">
        <v>12</v>
      </c>
      <c r="P35" s="95" t="s">
        <v>12</v>
      </c>
      <c r="Q35" s="95" t="s">
        <v>12</v>
      </c>
      <c r="R35" s="95" t="s">
        <v>12</v>
      </c>
      <c r="S35" s="95" t="s">
        <v>12</v>
      </c>
      <c r="T35" s="95" t="s">
        <v>12</v>
      </c>
      <c r="U35" s="95" t="s">
        <v>12</v>
      </c>
      <c r="V35" s="95" t="s">
        <v>12</v>
      </c>
      <c r="W35" s="95" t="s">
        <v>12</v>
      </c>
      <c r="X35" s="96" t="s">
        <v>12</v>
      </c>
      <c r="Y35" s="96" t="s">
        <v>12</v>
      </c>
      <c r="Z35" s="14" t="s">
        <v>12</v>
      </c>
      <c r="AA35" s="14" t="s">
        <v>12</v>
      </c>
      <c r="AB35" s="14" t="s">
        <v>12</v>
      </c>
      <c r="AC35" s="14" t="s">
        <v>12</v>
      </c>
      <c r="AD35" s="14" t="s">
        <v>12</v>
      </c>
      <c r="AE35" s="14" t="s">
        <v>12</v>
      </c>
      <c r="AF35" s="14" t="s">
        <v>12</v>
      </c>
      <c r="AG35" s="14" t="s">
        <v>12</v>
      </c>
      <c r="AH35" s="14" t="s">
        <v>12</v>
      </c>
      <c r="AI35" s="98">
        <f>IF(COUNTA(D35:AH35)&gt;0,(COUNTA(D35:AH35)-COUNTIF(D35:AH35,"NB")-COUNTIF(D35:AH35,"DN")-COUNTIF(D35:AH35,"An")-COUNTIF(D35:AH35,"NB^")-COUNTIF(D35:AH35,0))/COUNTA(D35:AH35),"")</f>
        <v>0</v>
      </c>
    </row>
    <row r="36" spans="1:44" s="32" customFormat="1" ht="15.75" customHeight="1" x14ac:dyDescent="0.25">
      <c r="A36" s="150" t="s">
        <v>37</v>
      </c>
      <c r="B36" s="151"/>
      <c r="C36" s="152"/>
      <c r="D36" s="76"/>
      <c r="E36" s="76"/>
      <c r="F36" s="76"/>
      <c r="G36" s="31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7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8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68" t="s">
        <v>38</v>
      </c>
      <c r="B37" s="169"/>
      <c r="C37" s="170"/>
      <c r="D37" s="86"/>
      <c r="E37" s="87"/>
      <c r="F37" s="87"/>
      <c r="G37" s="128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9"/>
      <c r="AI37" s="35"/>
    </row>
    <row r="38" spans="1:44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/>
      </c>
      <c r="E38" s="37" t="str">
        <f>IF(AND(E5&gt;0,COUNTA(E6:E37)&gt;0,COUNTA(E6:E37)-COUNTIF(E6:E37,"NB")-COUNTIF(E30:E31, "0")=COUNTA(E6:E37)),"AB","")</f>
        <v/>
      </c>
      <c r="F38" s="37" t="str">
        <f>IF(AND(F5&gt;0,COUNTA(F6:F37)&gt;0,COUNTA(F6:F37)-COUNTIF(F6:F37,"NB")-COUNTIF(F30:F31, "0")=COUNTA(F6:F37)),"AB","")</f>
        <v/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/>
      </c>
      <c r="J38" s="37" t="str">
        <f t="shared" ref="J38:AH38" si="1">IF(AND(J5&gt;0,COUNTA(J6:J37)&gt;0,COUNTA(J6:J37)-COUNTIF(J6:J37,"NB")-COUNTIF(J30:J31, "0")=COUNTA(J6:J37)),"AB","")</f>
        <v/>
      </c>
      <c r="K38" s="37" t="str">
        <f t="shared" si="1"/>
        <v/>
      </c>
      <c r="L38" s="37" t="str">
        <f t="shared" si="1"/>
        <v/>
      </c>
      <c r="M38" s="37" t="str">
        <f t="shared" si="1"/>
        <v/>
      </c>
      <c r="N38" s="37" t="str">
        <f t="shared" si="1"/>
        <v/>
      </c>
      <c r="O38" s="37" t="str">
        <f t="shared" si="1"/>
        <v/>
      </c>
      <c r="P38" s="37" t="str">
        <f t="shared" si="1"/>
        <v/>
      </c>
      <c r="Q38" s="37" t="str">
        <f t="shared" si="1"/>
        <v/>
      </c>
      <c r="R38" s="37" t="str">
        <f t="shared" si="1"/>
        <v/>
      </c>
      <c r="S38" s="37" t="str">
        <f t="shared" si="1"/>
        <v/>
      </c>
      <c r="T38" s="37" t="str">
        <f t="shared" si="1"/>
        <v/>
      </c>
      <c r="U38" s="37" t="str">
        <f t="shared" si="1"/>
        <v/>
      </c>
      <c r="V38" s="37" t="str">
        <f t="shared" si="1"/>
        <v/>
      </c>
      <c r="W38" s="37" t="str">
        <f t="shared" si="1"/>
        <v/>
      </c>
      <c r="X38" s="37" t="str">
        <f t="shared" si="1"/>
        <v/>
      </c>
      <c r="Y38" s="37" t="str">
        <f t="shared" si="1"/>
        <v/>
      </c>
      <c r="Z38" s="37" t="str">
        <f t="shared" si="1"/>
        <v/>
      </c>
      <c r="AA38" s="37" t="str">
        <f t="shared" si="1"/>
        <v/>
      </c>
      <c r="AB38" s="37" t="str">
        <f t="shared" si="1"/>
        <v/>
      </c>
      <c r="AC38" s="37" t="str">
        <f t="shared" si="1"/>
        <v/>
      </c>
      <c r="AD38" s="37" t="str">
        <f t="shared" si="1"/>
        <v/>
      </c>
      <c r="AE38" s="37" t="str">
        <f t="shared" si="1"/>
        <v/>
      </c>
      <c r="AF38" s="37" t="str">
        <f t="shared" si="1"/>
        <v/>
      </c>
      <c r="AG38" s="37" t="str">
        <f t="shared" si="1"/>
        <v/>
      </c>
      <c r="AH38" s="37" t="str">
        <f t="shared" si="1"/>
        <v/>
      </c>
      <c r="AI38" s="35"/>
    </row>
    <row r="39" spans="1:44" ht="15.75" hidden="1" customHeight="1" x14ac:dyDescent="0.25">
      <c r="D39" s="38" t="str">
        <f>IF(AND(D5:D5&gt;0,COUNTA(D6:D34),COUNTIF(D6:D34,"NB")+COUNTIF(D6:D34,0)=COUNTA(D6:D34)),"ANB","")</f>
        <v/>
      </c>
      <c r="E39" s="38" t="str">
        <f>IF(AND(E5:E5&gt;0,COUNTA(E6:E34),COUNTIF(E6:E34,"NB")+COUNTIF(E6:E34,0)=COUNTA(E6:E34)),"ANB","")</f>
        <v/>
      </c>
      <c r="F39" s="38" t="str">
        <f>IF(AND(F5:F5&gt;0,COUNTA(F6:F34),COUNTIF(F6:F34,"NB")+COUNTIF(F6:F34,0)=COUNTA(F6:F34)),"ANB","")</f>
        <v/>
      </c>
      <c r="G39" s="38" t="str">
        <f>IF(AND(G5:G5&gt;0,COUNTA(G6:G34),COUNTIF(G6:G34,"NB")+COUNTIF(G6:G34,0)=COUNTA(G6:G34)),"ANB","")</f>
        <v/>
      </c>
      <c r="H39" s="38" t="str">
        <f>IF(AND(H5:H5&gt;0,COUNTA(H6:H34),COUNTIF(H6:H34,"NB")+COUNTIF(H6:H34,0)=COUNTA(H6:H34)),"ANB","")</f>
        <v/>
      </c>
      <c r="I39" s="38" t="str">
        <f>IF(AND(I5:I5&gt;0,COUNTA(I6:I31),COUNTIF(I6:I31,"NB")+COUNTIF(I6:I31,0)=COUNTA(I6:I31)),"ANB","")</f>
        <v/>
      </c>
      <c r="J39" s="38" t="str">
        <f t="shared" ref="J39:AH39" si="2">IF(AND(J5:J5&gt;0,COUNTA(J6:J34),COUNTIF(J6:J34,"NB")+COUNTIF(J6:J34,0)=COUNTA(J6:J34)),"ANB","")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str">
        <f t="shared" si="2"/>
        <v/>
      </c>
    </row>
    <row r="40" spans="1:44" ht="15.75" customHeight="1" thickBot="1" x14ac:dyDescent="0.3">
      <c r="D40" s="39"/>
    </row>
    <row r="41" spans="1:44" ht="15.75" customHeight="1" thickBot="1" x14ac:dyDescent="0.3">
      <c r="A41" s="147" t="s">
        <v>39</v>
      </c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9"/>
    </row>
    <row r="42" spans="1:44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  <c r="AH49" s="59"/>
    </row>
    <row r="50" spans="1:35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COUNTA(D5:AH5)</f>
        <v>31</v>
      </c>
      <c r="AH50" s="59"/>
      <c r="AI50"/>
    </row>
    <row r="51" spans="1:35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COUNTIF(D38:AH38,"AB")</f>
        <v>0</v>
      </c>
      <c r="AH51" s="59"/>
      <c r="AI51"/>
    </row>
    <row r="52" spans="1:35" ht="15.75" customHeight="1" x14ac:dyDescent="0.25">
      <c r="A52" s="54" t="s">
        <v>82</v>
      </c>
      <c r="B52" t="s">
        <v>83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31</v>
      </c>
      <c r="AH52" s="59"/>
      <c r="AI52"/>
    </row>
    <row r="53" spans="1:35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36:C36"/>
    <mergeCell ref="A41:AH41"/>
    <mergeCell ref="A37:C37"/>
    <mergeCell ref="A26:C26"/>
    <mergeCell ref="A27:C27"/>
    <mergeCell ref="A28:C28"/>
    <mergeCell ref="A29:C29"/>
    <mergeCell ref="A35:C35"/>
    <mergeCell ref="A32:C32"/>
    <mergeCell ref="A33:C33"/>
    <mergeCell ref="A34:C34"/>
    <mergeCell ref="A30:C30"/>
    <mergeCell ref="A31:C31"/>
    <mergeCell ref="A23:C23"/>
    <mergeCell ref="A24:C24"/>
    <mergeCell ref="A11:C11"/>
    <mergeCell ref="A25:C25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6:C6"/>
    <mergeCell ref="A7:C7"/>
    <mergeCell ref="A8:C8"/>
    <mergeCell ref="A9:C9"/>
    <mergeCell ref="A10:C10"/>
  </mergeCells>
  <conditionalFormatting sqref="G27:J35 J25:J26 G15:J24 G9:H14 J9:J14 G6:AH7 K9:AH35">
    <cfRule type="cellIs" dxfId="1042" priority="8" operator="equal">
      <formula>0</formula>
    </cfRule>
    <cfRule type="cellIs" dxfId="1041" priority="9" operator="equal">
      <formula>"B"</formula>
    </cfRule>
    <cfRule type="cellIs" dxfId="1040" priority="10" operator="equal">
      <formula>"M"</formula>
    </cfRule>
    <cfRule type="cellIs" dxfId="1039" priority="11" operator="equal">
      <formula>"NB"</formula>
    </cfRule>
  </conditionalFormatting>
  <conditionalFormatting sqref="D6:F35 G25:I26 G8:AH8">
    <cfRule type="containsText" dxfId="1038" priority="5" operator="containsText" text="NB">
      <formula>NOT(ISERROR(SEARCH("NB",D6)))</formula>
    </cfRule>
    <cfRule type="containsText" dxfId="1037" priority="6" operator="containsText" text="M">
      <formula>NOT(ISERROR(SEARCH("M",D6)))</formula>
    </cfRule>
    <cfRule type="containsText" dxfId="1036" priority="7" operator="containsText" text="B">
      <formula>NOT(ISERROR(SEARCH("B",D6)))</formula>
    </cfRule>
  </conditionalFormatting>
  <conditionalFormatting sqref="D29:F29">
    <cfRule type="cellIs" dxfId="1035" priority="4" operator="equal">
      <formula>0</formula>
    </cfRule>
  </conditionalFormatting>
  <conditionalFormatting sqref="I9:I14">
    <cfRule type="containsText" dxfId="1034" priority="1" operator="containsText" text="NB">
      <formula>NOT(ISERROR(SEARCH("NB",I9)))</formula>
    </cfRule>
    <cfRule type="containsText" dxfId="1033" priority="2" operator="containsText" text="M">
      <formula>NOT(ISERROR(SEARCH("M",I9)))</formula>
    </cfRule>
    <cfRule type="containsText" dxfId="1032" priority="3" operator="containsText" text="B">
      <formula>NOT(ISERROR(SEARCH("B",I9)))</formula>
    </cfRule>
  </conditionalFormatting>
  <pageMargins left="0.75" right="0.75" top="1" bottom="1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R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4" width="5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91</v>
      </c>
    </row>
    <row r="3" spans="1:44" ht="23.25" x14ac:dyDescent="0.35">
      <c r="A3" s="1" t="s">
        <v>2</v>
      </c>
      <c r="P3" s="4" t="s">
        <v>108</v>
      </c>
    </row>
    <row r="4" spans="1:44" s="5" customFormat="1" ht="15.75" customHeight="1" thickBot="1" x14ac:dyDescent="0.3">
      <c r="C4" s="6"/>
      <c r="D4" s="5" t="s">
        <v>3</v>
      </c>
      <c r="J4" s="5" t="s">
        <v>3</v>
      </c>
      <c r="K4" s="5" t="s">
        <v>3</v>
      </c>
      <c r="L4" s="6"/>
      <c r="Q4" s="5" t="s">
        <v>3</v>
      </c>
      <c r="R4" s="5" t="s">
        <v>3</v>
      </c>
      <c r="S4" s="6"/>
      <c r="X4" s="5" t="s">
        <v>3</v>
      </c>
      <c r="Y4" s="5" t="s">
        <v>3</v>
      </c>
      <c r="AE4" s="5" t="s">
        <v>3</v>
      </c>
      <c r="AF4" s="5" t="s">
        <v>3</v>
      </c>
      <c r="AM4"/>
      <c r="AN4"/>
      <c r="AO4"/>
      <c r="AP4"/>
      <c r="AQ4"/>
      <c r="AR4"/>
    </row>
    <row r="5" spans="1:44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0">
        <v>31</v>
      </c>
      <c r="AI5" s="11" t="s">
        <v>6</v>
      </c>
      <c r="AJ5"/>
      <c r="AK5"/>
      <c r="AL5"/>
      <c r="AM5"/>
      <c r="AN5"/>
      <c r="AO5"/>
      <c r="AP5"/>
      <c r="AQ5"/>
      <c r="AR5"/>
    </row>
    <row r="6" spans="1:44" ht="15.75" customHeight="1" x14ac:dyDescent="0.25">
      <c r="A6" s="156" t="s">
        <v>7</v>
      </c>
      <c r="B6" s="157"/>
      <c r="C6" s="158"/>
      <c r="D6" s="72" t="s">
        <v>9</v>
      </c>
      <c r="E6" s="72" t="s">
        <v>22</v>
      </c>
      <c r="F6" s="72" t="s">
        <v>12</v>
      </c>
      <c r="G6" s="72" t="s">
        <v>12</v>
      </c>
      <c r="H6" s="72" t="s">
        <v>12</v>
      </c>
      <c r="I6" s="72" t="s">
        <v>12</v>
      </c>
      <c r="J6" s="72" t="s">
        <v>12</v>
      </c>
      <c r="K6" s="72" t="s">
        <v>12</v>
      </c>
      <c r="L6" s="72" t="s">
        <v>12</v>
      </c>
      <c r="M6" s="72" t="s">
        <v>12</v>
      </c>
      <c r="N6" s="72" t="s">
        <v>12</v>
      </c>
      <c r="O6" s="72" t="s">
        <v>12</v>
      </c>
      <c r="P6" s="72" t="s">
        <v>12</v>
      </c>
      <c r="Q6" s="72" t="s">
        <v>12</v>
      </c>
      <c r="R6" s="72" t="s">
        <v>12</v>
      </c>
      <c r="S6" s="72" t="s">
        <v>12</v>
      </c>
      <c r="T6" s="72" t="s">
        <v>12</v>
      </c>
      <c r="U6" s="72" t="s">
        <v>12</v>
      </c>
      <c r="V6" s="72" t="s">
        <v>12</v>
      </c>
      <c r="W6" s="72" t="s">
        <v>12</v>
      </c>
      <c r="X6" s="72" t="s">
        <v>12</v>
      </c>
      <c r="Y6" s="72" t="s">
        <v>12</v>
      </c>
      <c r="Z6" s="72" t="s">
        <v>12</v>
      </c>
      <c r="AA6" s="72" t="s">
        <v>12</v>
      </c>
      <c r="AB6" s="72" t="s">
        <v>12</v>
      </c>
      <c r="AC6" s="72" t="s">
        <v>12</v>
      </c>
      <c r="AD6" s="72" t="s">
        <v>12</v>
      </c>
      <c r="AE6" s="72" t="s">
        <v>12</v>
      </c>
      <c r="AF6" s="72" t="s">
        <v>12</v>
      </c>
      <c r="AG6" s="72" t="s">
        <v>12</v>
      </c>
      <c r="AH6" s="72" t="s">
        <v>12</v>
      </c>
      <c r="AI6" s="13">
        <f>IF(COUNTA(D6:AH6)&gt;0,(COUNTA(D6:AH6)-COUNTIF(D6:AH6,"NB")-COUNTIF(D6:AH6,"DN")-COUNTIF(D6:AH6,"An")-COUNTIF(D6:AH6,"NB^")-COUNTIF(D6:AH6,0))/COUNTA(D6:AH6),"")</f>
        <v>6.4516129032258063E-2</v>
      </c>
    </row>
    <row r="7" spans="1:44" ht="15.75" customHeight="1" x14ac:dyDescent="0.25">
      <c r="A7" s="180" t="s">
        <v>10</v>
      </c>
      <c r="B7" s="181"/>
      <c r="C7" s="182"/>
      <c r="D7" s="73" t="s">
        <v>11</v>
      </c>
      <c r="E7" s="73" t="s">
        <v>11</v>
      </c>
      <c r="F7" s="73" t="s">
        <v>12</v>
      </c>
      <c r="G7" s="73" t="s">
        <v>12</v>
      </c>
      <c r="H7" s="73" t="s">
        <v>12</v>
      </c>
      <c r="I7" s="73" t="s">
        <v>12</v>
      </c>
      <c r="J7" s="73" t="s">
        <v>12</v>
      </c>
      <c r="K7" s="73" t="s">
        <v>12</v>
      </c>
      <c r="L7" s="73" t="s">
        <v>12</v>
      </c>
      <c r="M7" s="73" t="s">
        <v>12</v>
      </c>
      <c r="N7" s="73" t="s">
        <v>12</v>
      </c>
      <c r="O7" s="73" t="s">
        <v>12</v>
      </c>
      <c r="P7" s="73" t="s">
        <v>12</v>
      </c>
      <c r="Q7" s="73" t="s">
        <v>12</v>
      </c>
      <c r="R7" s="73" t="s">
        <v>12</v>
      </c>
      <c r="S7" s="73" t="s">
        <v>12</v>
      </c>
      <c r="T7" s="90" t="s">
        <v>12</v>
      </c>
      <c r="U7" s="90" t="s">
        <v>12</v>
      </c>
      <c r="V7" s="90" t="s">
        <v>12</v>
      </c>
      <c r="W7" s="90" t="s">
        <v>12</v>
      </c>
      <c r="X7" s="90" t="s">
        <v>12</v>
      </c>
      <c r="Y7" s="90" t="s">
        <v>12</v>
      </c>
      <c r="Z7" s="90" t="s">
        <v>12</v>
      </c>
      <c r="AA7" s="14" t="s">
        <v>12</v>
      </c>
      <c r="AB7" s="14" t="s">
        <v>12</v>
      </c>
      <c r="AC7" s="14" t="s">
        <v>12</v>
      </c>
      <c r="AD7" s="14" t="s">
        <v>12</v>
      </c>
      <c r="AE7" s="14" t="s">
        <v>12</v>
      </c>
      <c r="AF7" s="14" t="s">
        <v>12</v>
      </c>
      <c r="AG7" s="14" t="s">
        <v>12</v>
      </c>
      <c r="AH7" s="14" t="s">
        <v>12</v>
      </c>
      <c r="AI7" s="17">
        <f t="shared" ref="AI7:AI35" si="0">IF(COUNTA(D7:AH7)&gt;0,(COUNTA(D7:AH7)-COUNTIF(D7:AH7,"NB")-COUNTIF(D7:AH7,"DN")-COUNTIF(D7:AH7,"An")-COUNTIF(D7:AH7,"NB^")-COUNTIF(D7:AH7,0))/COUNTA(D7:AH7),"")</f>
        <v>6.4516129032258063E-2</v>
      </c>
    </row>
    <row r="8" spans="1:44" ht="15.75" customHeight="1" x14ac:dyDescent="0.25">
      <c r="A8" s="162" t="s">
        <v>94</v>
      </c>
      <c r="B8" s="163"/>
      <c r="C8" s="164"/>
      <c r="D8" s="18" t="s">
        <v>12</v>
      </c>
      <c r="E8" s="18" t="s">
        <v>12</v>
      </c>
      <c r="F8" s="18" t="s">
        <v>12</v>
      </c>
      <c r="G8" s="18" t="s">
        <v>12</v>
      </c>
      <c r="H8" s="18" t="s">
        <v>12</v>
      </c>
      <c r="I8" s="18" t="s">
        <v>12</v>
      </c>
      <c r="J8" s="18" t="s">
        <v>12</v>
      </c>
      <c r="K8" s="18" t="s">
        <v>12</v>
      </c>
      <c r="L8" s="18" t="s">
        <v>12</v>
      </c>
      <c r="M8" s="18" t="s">
        <v>12</v>
      </c>
      <c r="N8" s="18" t="s">
        <v>12</v>
      </c>
      <c r="O8" s="18" t="s">
        <v>12</v>
      </c>
      <c r="P8" s="18" t="s">
        <v>12</v>
      </c>
      <c r="Q8" s="18" t="s">
        <v>12</v>
      </c>
      <c r="R8" s="18" t="s">
        <v>12</v>
      </c>
      <c r="S8" s="18" t="s">
        <v>12</v>
      </c>
      <c r="T8" s="18" t="s">
        <v>12</v>
      </c>
      <c r="U8" s="18" t="s">
        <v>12</v>
      </c>
      <c r="V8" s="18" t="s">
        <v>12</v>
      </c>
      <c r="W8" s="18" t="s">
        <v>12</v>
      </c>
      <c r="X8" s="18" t="s">
        <v>12</v>
      </c>
      <c r="Y8" s="18" t="s">
        <v>12</v>
      </c>
      <c r="Z8" s="18" t="s">
        <v>12</v>
      </c>
      <c r="AA8" s="18" t="s">
        <v>12</v>
      </c>
      <c r="AB8" s="18" t="s">
        <v>12</v>
      </c>
      <c r="AC8" s="18" t="s">
        <v>12</v>
      </c>
      <c r="AD8" s="18" t="s">
        <v>12</v>
      </c>
      <c r="AE8" s="18" t="s">
        <v>12</v>
      </c>
      <c r="AF8" s="18" t="s">
        <v>12</v>
      </c>
      <c r="AG8" s="18" t="s">
        <v>12</v>
      </c>
      <c r="AH8" s="18" t="s">
        <v>12</v>
      </c>
      <c r="AI8" s="19">
        <f>IF(COUNTA(D8:AH8)&gt;0,(COUNTA(D8:AH8)-COUNTIF(D8:AH8,"NB")-COUNTIF(D8:AH8,"DN")-COUNTIF(D8:AH8,"An")-COUNTIF(D8:AH8,"NB^")-COUNTIF(D8:AH8,0))/COUNTA(D8:AH8),"")</f>
        <v>0</v>
      </c>
    </row>
    <row r="9" spans="1:44" ht="15.75" customHeight="1" x14ac:dyDescent="0.25">
      <c r="A9" s="174" t="s">
        <v>13</v>
      </c>
      <c r="B9" s="175"/>
      <c r="C9" s="176"/>
      <c r="D9" s="79" t="s">
        <v>11</v>
      </c>
      <c r="E9" s="79" t="s">
        <v>12</v>
      </c>
      <c r="F9" s="79" t="s">
        <v>12</v>
      </c>
      <c r="G9" s="79" t="s">
        <v>12</v>
      </c>
      <c r="H9" s="79" t="s">
        <v>12</v>
      </c>
      <c r="I9" s="79" t="s">
        <v>12</v>
      </c>
      <c r="J9" s="79" t="s">
        <v>12</v>
      </c>
      <c r="K9" s="20" t="s">
        <v>12</v>
      </c>
      <c r="L9" s="20" t="s">
        <v>12</v>
      </c>
      <c r="M9" s="20" t="s">
        <v>12</v>
      </c>
      <c r="N9" s="20" t="s">
        <v>12</v>
      </c>
      <c r="O9" s="20" t="s">
        <v>12</v>
      </c>
      <c r="P9" s="20" t="s">
        <v>12</v>
      </c>
      <c r="Q9" s="20" t="s">
        <v>12</v>
      </c>
      <c r="R9" s="20" t="s">
        <v>12</v>
      </c>
      <c r="S9" s="20" t="s">
        <v>12</v>
      </c>
      <c r="T9" s="20" t="s">
        <v>12</v>
      </c>
      <c r="U9" s="20" t="s">
        <v>12</v>
      </c>
      <c r="V9" s="20" t="s">
        <v>12</v>
      </c>
      <c r="W9" s="20" t="s">
        <v>12</v>
      </c>
      <c r="X9" s="20" t="s">
        <v>12</v>
      </c>
      <c r="Y9" s="20" t="s">
        <v>12</v>
      </c>
      <c r="Z9" s="20" t="s">
        <v>12</v>
      </c>
      <c r="AA9" s="79" t="s">
        <v>12</v>
      </c>
      <c r="AB9" s="79" t="s">
        <v>12</v>
      </c>
      <c r="AC9" s="79" t="s">
        <v>12</v>
      </c>
      <c r="AD9" s="79" t="s">
        <v>12</v>
      </c>
      <c r="AE9" s="79" t="s">
        <v>12</v>
      </c>
      <c r="AF9" s="79" t="s">
        <v>12</v>
      </c>
      <c r="AG9" s="79" t="s">
        <v>12</v>
      </c>
      <c r="AH9" s="79" t="s">
        <v>12</v>
      </c>
      <c r="AI9" s="13">
        <f t="shared" si="0"/>
        <v>3.2258064516129031E-2</v>
      </c>
    </row>
    <row r="10" spans="1:44" ht="15.75" customHeight="1" x14ac:dyDescent="0.25">
      <c r="A10" s="177" t="s">
        <v>14</v>
      </c>
      <c r="B10" s="178"/>
      <c r="C10" s="179"/>
      <c r="D10" s="80" t="s">
        <v>11</v>
      </c>
      <c r="E10" s="80" t="s">
        <v>12</v>
      </c>
      <c r="F10" s="80" t="s">
        <v>12</v>
      </c>
      <c r="G10" s="80" t="s">
        <v>12</v>
      </c>
      <c r="H10" s="80" t="s">
        <v>12</v>
      </c>
      <c r="I10" s="80" t="s">
        <v>12</v>
      </c>
      <c r="J10" s="80" t="s">
        <v>12</v>
      </c>
      <c r="K10" s="16" t="s">
        <v>12</v>
      </c>
      <c r="L10" s="16" t="s">
        <v>12</v>
      </c>
      <c r="M10" s="16" t="s">
        <v>12</v>
      </c>
      <c r="N10" s="16" t="s">
        <v>12</v>
      </c>
      <c r="O10" s="16" t="s">
        <v>12</v>
      </c>
      <c r="P10" s="16" t="s">
        <v>12</v>
      </c>
      <c r="Q10" s="16" t="s">
        <v>12</v>
      </c>
      <c r="R10" s="16" t="s">
        <v>12</v>
      </c>
      <c r="S10" s="16" t="s">
        <v>12</v>
      </c>
      <c r="T10" s="16" t="s">
        <v>12</v>
      </c>
      <c r="U10" s="16" t="s">
        <v>12</v>
      </c>
      <c r="V10" s="16" t="s">
        <v>12</v>
      </c>
      <c r="W10" s="16" t="s">
        <v>12</v>
      </c>
      <c r="X10" s="16" t="s">
        <v>12</v>
      </c>
      <c r="Y10" s="16" t="s">
        <v>12</v>
      </c>
      <c r="Z10" s="16" t="s">
        <v>12</v>
      </c>
      <c r="AA10" s="80" t="s">
        <v>12</v>
      </c>
      <c r="AB10" s="80" t="s">
        <v>12</v>
      </c>
      <c r="AC10" s="80" t="s">
        <v>12</v>
      </c>
      <c r="AD10" s="80" t="s">
        <v>12</v>
      </c>
      <c r="AE10" s="80" t="s">
        <v>12</v>
      </c>
      <c r="AF10" s="80" t="s">
        <v>12</v>
      </c>
      <c r="AG10" s="80" t="s">
        <v>12</v>
      </c>
      <c r="AH10" s="80" t="s">
        <v>12</v>
      </c>
      <c r="AI10" s="21">
        <f t="shared" si="0"/>
        <v>3.2258064516129031E-2</v>
      </c>
    </row>
    <row r="11" spans="1:44" ht="15.75" customHeight="1" x14ac:dyDescent="0.25">
      <c r="A11" s="177" t="s">
        <v>15</v>
      </c>
      <c r="B11" s="178"/>
      <c r="C11" s="179"/>
      <c r="D11" s="80" t="s">
        <v>11</v>
      </c>
      <c r="E11" s="80" t="s">
        <v>12</v>
      </c>
      <c r="F11" s="80" t="s">
        <v>12</v>
      </c>
      <c r="G11" s="80" t="s">
        <v>12</v>
      </c>
      <c r="H11" s="80" t="s">
        <v>12</v>
      </c>
      <c r="I11" s="80" t="s">
        <v>12</v>
      </c>
      <c r="J11" s="80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80" t="s">
        <v>12</v>
      </c>
      <c r="AB11" s="80" t="s">
        <v>12</v>
      </c>
      <c r="AC11" s="80" t="s">
        <v>12</v>
      </c>
      <c r="AD11" s="80" t="s">
        <v>12</v>
      </c>
      <c r="AE11" s="80" t="s">
        <v>12</v>
      </c>
      <c r="AF11" s="80" t="s">
        <v>12</v>
      </c>
      <c r="AG11" s="80" t="s">
        <v>12</v>
      </c>
      <c r="AH11" s="80" t="s">
        <v>12</v>
      </c>
      <c r="AI11" s="21">
        <f t="shared" si="0"/>
        <v>3.2258064516129031E-2</v>
      </c>
    </row>
    <row r="12" spans="1:44" ht="15.75" customHeight="1" x14ac:dyDescent="0.25">
      <c r="A12" s="177" t="s">
        <v>16</v>
      </c>
      <c r="B12" s="178"/>
      <c r="C12" s="179"/>
      <c r="D12" s="80" t="s">
        <v>11</v>
      </c>
      <c r="E12" s="80" t="s">
        <v>12</v>
      </c>
      <c r="F12" s="80" t="s">
        <v>12</v>
      </c>
      <c r="G12" s="80" t="s">
        <v>12</v>
      </c>
      <c r="H12" s="80" t="s">
        <v>12</v>
      </c>
      <c r="I12" s="80" t="s">
        <v>12</v>
      </c>
      <c r="J12" s="80" t="s">
        <v>12</v>
      </c>
      <c r="K12" s="16" t="s">
        <v>12</v>
      </c>
      <c r="L12" s="16" t="s">
        <v>12</v>
      </c>
      <c r="M12" s="16" t="s">
        <v>12</v>
      </c>
      <c r="N12" s="16" t="s">
        <v>12</v>
      </c>
      <c r="O12" s="16" t="s">
        <v>12</v>
      </c>
      <c r="P12" s="16" t="s">
        <v>12</v>
      </c>
      <c r="Q12" s="16" t="s">
        <v>12</v>
      </c>
      <c r="R12" s="16" t="s">
        <v>12</v>
      </c>
      <c r="S12" s="16" t="s">
        <v>12</v>
      </c>
      <c r="T12" s="16" t="s">
        <v>12</v>
      </c>
      <c r="U12" s="16" t="s">
        <v>12</v>
      </c>
      <c r="V12" s="16" t="s">
        <v>12</v>
      </c>
      <c r="W12" s="16" t="s">
        <v>12</v>
      </c>
      <c r="X12" s="16" t="s">
        <v>12</v>
      </c>
      <c r="Y12" s="16" t="s">
        <v>12</v>
      </c>
      <c r="Z12" s="16" t="s">
        <v>12</v>
      </c>
      <c r="AA12" s="80" t="s">
        <v>12</v>
      </c>
      <c r="AB12" s="80" t="s">
        <v>12</v>
      </c>
      <c r="AC12" s="80" t="s">
        <v>12</v>
      </c>
      <c r="AD12" s="80" t="s">
        <v>12</v>
      </c>
      <c r="AE12" s="80" t="s">
        <v>12</v>
      </c>
      <c r="AF12" s="80" t="s">
        <v>12</v>
      </c>
      <c r="AG12" s="80" t="s">
        <v>12</v>
      </c>
      <c r="AH12" s="80" t="s">
        <v>12</v>
      </c>
      <c r="AI12" s="21">
        <f t="shared" si="0"/>
        <v>3.2258064516129031E-2</v>
      </c>
    </row>
    <row r="13" spans="1:44" ht="15.75" customHeight="1" x14ac:dyDescent="0.25">
      <c r="A13" s="177" t="s">
        <v>17</v>
      </c>
      <c r="B13" s="178"/>
      <c r="C13" s="179"/>
      <c r="D13" s="80" t="s">
        <v>11</v>
      </c>
      <c r="E13" s="80" t="s">
        <v>12</v>
      </c>
      <c r="F13" s="80" t="s">
        <v>12</v>
      </c>
      <c r="G13" s="80" t="s">
        <v>12</v>
      </c>
      <c r="H13" s="80" t="s">
        <v>12</v>
      </c>
      <c r="I13" s="80" t="s">
        <v>12</v>
      </c>
      <c r="J13" s="80" t="s">
        <v>12</v>
      </c>
      <c r="K13" s="16" t="s">
        <v>12</v>
      </c>
      <c r="L13" s="16" t="s">
        <v>12</v>
      </c>
      <c r="M13" s="16" t="s">
        <v>12</v>
      </c>
      <c r="N13" s="16" t="s">
        <v>12</v>
      </c>
      <c r="O13" s="16" t="s">
        <v>12</v>
      </c>
      <c r="P13" s="16" t="s">
        <v>12</v>
      </c>
      <c r="Q13" s="16" t="s">
        <v>12</v>
      </c>
      <c r="R13" s="16" t="s">
        <v>12</v>
      </c>
      <c r="S13" s="16" t="s">
        <v>12</v>
      </c>
      <c r="T13" s="16" t="s">
        <v>12</v>
      </c>
      <c r="U13" s="16" t="s">
        <v>12</v>
      </c>
      <c r="V13" s="16" t="s">
        <v>12</v>
      </c>
      <c r="W13" s="16" t="s">
        <v>12</v>
      </c>
      <c r="X13" s="16" t="s">
        <v>12</v>
      </c>
      <c r="Y13" s="16" t="s">
        <v>12</v>
      </c>
      <c r="Z13" s="16" t="s">
        <v>12</v>
      </c>
      <c r="AA13" s="80" t="s">
        <v>12</v>
      </c>
      <c r="AB13" s="80" t="s">
        <v>12</v>
      </c>
      <c r="AC13" s="80" t="s">
        <v>12</v>
      </c>
      <c r="AD13" s="80" t="s">
        <v>12</v>
      </c>
      <c r="AE13" s="80" t="s">
        <v>12</v>
      </c>
      <c r="AF13" s="80" t="s">
        <v>12</v>
      </c>
      <c r="AG13" s="80" t="s">
        <v>12</v>
      </c>
      <c r="AH13" s="80" t="s">
        <v>12</v>
      </c>
      <c r="AI13" s="21">
        <f t="shared" si="0"/>
        <v>3.2258064516129031E-2</v>
      </c>
    </row>
    <row r="14" spans="1:44" ht="15.75" customHeight="1" x14ac:dyDescent="0.25">
      <c r="A14" s="180" t="s">
        <v>18</v>
      </c>
      <c r="B14" s="181"/>
      <c r="C14" s="182"/>
      <c r="D14" s="73" t="s">
        <v>11</v>
      </c>
      <c r="E14" s="73" t="s">
        <v>12</v>
      </c>
      <c r="F14" s="73" t="s">
        <v>12</v>
      </c>
      <c r="G14" s="73" t="s">
        <v>12</v>
      </c>
      <c r="H14" s="73" t="s">
        <v>12</v>
      </c>
      <c r="I14" s="73" t="s">
        <v>12</v>
      </c>
      <c r="J14" s="73" t="s">
        <v>12</v>
      </c>
      <c r="K14" s="73" t="s">
        <v>12</v>
      </c>
      <c r="L14" s="73" t="s">
        <v>12</v>
      </c>
      <c r="M14" s="73" t="s">
        <v>12</v>
      </c>
      <c r="N14" s="73" t="s">
        <v>12</v>
      </c>
      <c r="O14" s="73" t="s">
        <v>12</v>
      </c>
      <c r="P14" s="73" t="s">
        <v>12</v>
      </c>
      <c r="Q14" s="73" t="s">
        <v>12</v>
      </c>
      <c r="R14" s="73" t="s">
        <v>12</v>
      </c>
      <c r="S14" s="73" t="s">
        <v>12</v>
      </c>
      <c r="T14" s="73" t="s">
        <v>12</v>
      </c>
      <c r="U14" s="73" t="s">
        <v>12</v>
      </c>
      <c r="V14" s="73" t="s">
        <v>12</v>
      </c>
      <c r="W14" s="73" t="s">
        <v>12</v>
      </c>
      <c r="X14" s="73" t="s">
        <v>12</v>
      </c>
      <c r="Y14" s="73" t="s">
        <v>12</v>
      </c>
      <c r="Z14" s="73" t="s">
        <v>12</v>
      </c>
      <c r="AA14" s="73" t="s">
        <v>12</v>
      </c>
      <c r="AB14" s="73" t="s">
        <v>12</v>
      </c>
      <c r="AC14" s="73" t="s">
        <v>12</v>
      </c>
      <c r="AD14" s="73" t="s">
        <v>12</v>
      </c>
      <c r="AE14" s="73" t="s">
        <v>12</v>
      </c>
      <c r="AF14" s="73" t="s">
        <v>12</v>
      </c>
      <c r="AG14" s="73" t="s">
        <v>12</v>
      </c>
      <c r="AH14" s="73" t="s">
        <v>12</v>
      </c>
      <c r="AI14" s="17">
        <f t="shared" si="0"/>
        <v>3.2258064516129031E-2</v>
      </c>
    </row>
    <row r="15" spans="1:44" ht="15.75" customHeight="1" x14ac:dyDescent="0.25">
      <c r="A15" s="174" t="s">
        <v>19</v>
      </c>
      <c r="B15" s="175"/>
      <c r="C15" s="176"/>
      <c r="D15" s="20" t="s">
        <v>11</v>
      </c>
      <c r="E15" s="20" t="s">
        <v>11</v>
      </c>
      <c r="F15" s="20" t="s">
        <v>11</v>
      </c>
      <c r="G15" s="20" t="s">
        <v>11</v>
      </c>
      <c r="H15" s="20" t="s">
        <v>11</v>
      </c>
      <c r="I15" s="20" t="s">
        <v>11</v>
      </c>
      <c r="J15" s="20" t="s">
        <v>11</v>
      </c>
      <c r="K15" s="20" t="s">
        <v>11</v>
      </c>
      <c r="L15" s="20" t="s">
        <v>12</v>
      </c>
      <c r="M15" s="20" t="s">
        <v>12</v>
      </c>
      <c r="N15" s="20" t="s">
        <v>12</v>
      </c>
      <c r="O15" s="20" t="s">
        <v>12</v>
      </c>
      <c r="P15" s="20" t="s">
        <v>12</v>
      </c>
      <c r="Q15" s="20" t="s">
        <v>12</v>
      </c>
      <c r="R15" s="20" t="s">
        <v>12</v>
      </c>
      <c r="S15" s="20" t="s">
        <v>12</v>
      </c>
      <c r="T15" s="20" t="s">
        <v>11</v>
      </c>
      <c r="U15" s="20" t="s">
        <v>11</v>
      </c>
      <c r="V15" s="20" t="s">
        <v>11</v>
      </c>
      <c r="W15" s="20" t="s">
        <v>11</v>
      </c>
      <c r="X15" s="20" t="s">
        <v>11</v>
      </c>
      <c r="Y15" s="20" t="s">
        <v>11</v>
      </c>
      <c r="Z15" s="20" t="s">
        <v>11</v>
      </c>
      <c r="AA15" s="20" t="s">
        <v>11</v>
      </c>
      <c r="AB15" s="20" t="s">
        <v>11</v>
      </c>
      <c r="AC15" s="20" t="s">
        <v>11</v>
      </c>
      <c r="AD15" s="20" t="s">
        <v>11</v>
      </c>
      <c r="AE15" s="20" t="s">
        <v>11</v>
      </c>
      <c r="AF15" s="20" t="s">
        <v>11</v>
      </c>
      <c r="AG15" s="20" t="s">
        <v>11</v>
      </c>
      <c r="AH15" s="20" t="s">
        <v>11</v>
      </c>
      <c r="AI15" s="13">
        <f t="shared" si="0"/>
        <v>0.74193548387096775</v>
      </c>
    </row>
    <row r="16" spans="1:44" ht="15.75" customHeight="1" x14ac:dyDescent="0.25">
      <c r="A16" s="177" t="s">
        <v>20</v>
      </c>
      <c r="B16" s="178"/>
      <c r="C16" s="179"/>
      <c r="D16" s="16" t="s">
        <v>11</v>
      </c>
      <c r="E16" s="16" t="s">
        <v>11</v>
      </c>
      <c r="F16" s="16" t="s">
        <v>11</v>
      </c>
      <c r="G16" s="16" t="s">
        <v>11</v>
      </c>
      <c r="H16" s="16" t="s">
        <v>11</v>
      </c>
      <c r="I16" s="16" t="s">
        <v>11</v>
      </c>
      <c r="J16" s="16" t="s">
        <v>11</v>
      </c>
      <c r="K16" s="16" t="s">
        <v>11</v>
      </c>
      <c r="L16" s="16" t="s">
        <v>12</v>
      </c>
      <c r="M16" s="16" t="s">
        <v>12</v>
      </c>
      <c r="N16" s="16" t="s">
        <v>12</v>
      </c>
      <c r="O16" s="16" t="s">
        <v>12</v>
      </c>
      <c r="P16" s="16" t="s">
        <v>12</v>
      </c>
      <c r="Q16" s="16" t="s">
        <v>12</v>
      </c>
      <c r="R16" s="16" t="s">
        <v>12</v>
      </c>
      <c r="S16" s="16" t="s">
        <v>12</v>
      </c>
      <c r="T16" s="16" t="s">
        <v>11</v>
      </c>
      <c r="U16" s="16" t="s">
        <v>11</v>
      </c>
      <c r="V16" s="16" t="s">
        <v>11</v>
      </c>
      <c r="W16" s="16" t="s">
        <v>11</v>
      </c>
      <c r="X16" s="16" t="s">
        <v>11</v>
      </c>
      <c r="Y16" s="16" t="s">
        <v>11</v>
      </c>
      <c r="Z16" s="16" t="s">
        <v>11</v>
      </c>
      <c r="AA16" s="16" t="s">
        <v>11</v>
      </c>
      <c r="AB16" s="16" t="s">
        <v>11</v>
      </c>
      <c r="AC16" s="16" t="s">
        <v>11</v>
      </c>
      <c r="AD16" s="16" t="s">
        <v>11</v>
      </c>
      <c r="AE16" s="16" t="s">
        <v>11</v>
      </c>
      <c r="AF16" s="16" t="s">
        <v>11</v>
      </c>
      <c r="AG16" s="16" t="s">
        <v>11</v>
      </c>
      <c r="AH16" s="16" t="s">
        <v>11</v>
      </c>
      <c r="AI16" s="21">
        <f t="shared" si="0"/>
        <v>0.74193548387096775</v>
      </c>
    </row>
    <row r="17" spans="1:35" ht="15.75" customHeight="1" x14ac:dyDescent="0.25">
      <c r="A17" s="180" t="s">
        <v>92</v>
      </c>
      <c r="B17" s="181"/>
      <c r="C17" s="182"/>
      <c r="D17" s="16" t="s">
        <v>11</v>
      </c>
      <c r="E17" s="16" t="s">
        <v>11</v>
      </c>
      <c r="F17" s="16" t="s">
        <v>11</v>
      </c>
      <c r="G17" s="16" t="s">
        <v>11</v>
      </c>
      <c r="H17" s="16" t="s">
        <v>11</v>
      </c>
      <c r="I17" s="16" t="s">
        <v>11</v>
      </c>
      <c r="J17" s="16" t="s">
        <v>11</v>
      </c>
      <c r="K17" s="16" t="s">
        <v>11</v>
      </c>
      <c r="L17" s="16" t="s">
        <v>12</v>
      </c>
      <c r="M17" s="16" t="s">
        <v>12</v>
      </c>
      <c r="N17" s="16" t="s">
        <v>12</v>
      </c>
      <c r="O17" s="16" t="s">
        <v>12</v>
      </c>
      <c r="P17" s="16" t="s">
        <v>12</v>
      </c>
      <c r="Q17" s="16" t="s">
        <v>12</v>
      </c>
      <c r="R17" s="16" t="s">
        <v>12</v>
      </c>
      <c r="S17" s="16" t="s">
        <v>12</v>
      </c>
      <c r="T17" s="16" t="s">
        <v>11</v>
      </c>
      <c r="U17" s="16" t="s">
        <v>11</v>
      </c>
      <c r="V17" s="16" t="s">
        <v>11</v>
      </c>
      <c r="W17" s="16" t="s">
        <v>11</v>
      </c>
      <c r="X17" s="16" t="s">
        <v>11</v>
      </c>
      <c r="Y17" s="16" t="s">
        <v>11</v>
      </c>
      <c r="Z17" s="16" t="s">
        <v>11</v>
      </c>
      <c r="AA17" s="16" t="s">
        <v>11</v>
      </c>
      <c r="AB17" s="16" t="s">
        <v>11</v>
      </c>
      <c r="AC17" s="16" t="s">
        <v>11</v>
      </c>
      <c r="AD17" s="16" t="s">
        <v>11</v>
      </c>
      <c r="AE17" s="16" t="s">
        <v>11</v>
      </c>
      <c r="AF17" s="16" t="s">
        <v>11</v>
      </c>
      <c r="AG17" s="16" t="s">
        <v>11</v>
      </c>
      <c r="AH17" s="16" t="s">
        <v>11</v>
      </c>
      <c r="AI17" s="17">
        <f t="shared" si="0"/>
        <v>0.74193548387096775</v>
      </c>
    </row>
    <row r="18" spans="1:35" ht="15.75" customHeight="1" x14ac:dyDescent="0.25">
      <c r="A18" s="174" t="s">
        <v>21</v>
      </c>
      <c r="B18" s="175"/>
      <c r="C18" s="176"/>
      <c r="D18" s="20" t="s">
        <v>11</v>
      </c>
      <c r="E18" s="20" t="s">
        <v>11</v>
      </c>
      <c r="F18" s="20" t="s">
        <v>11</v>
      </c>
      <c r="G18" s="20" t="s">
        <v>11</v>
      </c>
      <c r="H18" s="20" t="s">
        <v>11</v>
      </c>
      <c r="I18" s="20" t="s">
        <v>11</v>
      </c>
      <c r="J18" s="20" t="s">
        <v>11</v>
      </c>
      <c r="K18" s="20" t="s">
        <v>11</v>
      </c>
      <c r="L18" s="20" t="s">
        <v>22</v>
      </c>
      <c r="M18" s="20" t="s">
        <v>12</v>
      </c>
      <c r="N18" s="20" t="s">
        <v>12</v>
      </c>
      <c r="O18" s="20" t="s">
        <v>12</v>
      </c>
      <c r="P18" s="20" t="s">
        <v>12</v>
      </c>
      <c r="Q18" s="20" t="s">
        <v>12</v>
      </c>
      <c r="R18" s="20" t="s">
        <v>12</v>
      </c>
      <c r="S18" s="20" t="s">
        <v>12</v>
      </c>
      <c r="T18" s="22" t="s">
        <v>11</v>
      </c>
      <c r="U18" s="22" t="s">
        <v>11</v>
      </c>
      <c r="V18" s="22" t="s">
        <v>11</v>
      </c>
      <c r="W18" s="22" t="s">
        <v>11</v>
      </c>
      <c r="X18" s="22" t="s">
        <v>11</v>
      </c>
      <c r="Y18" s="22" t="s">
        <v>11</v>
      </c>
      <c r="Z18" s="22" t="s">
        <v>11</v>
      </c>
      <c r="AA18" s="22" t="s">
        <v>11</v>
      </c>
      <c r="AB18" s="22" t="s">
        <v>11</v>
      </c>
      <c r="AC18" s="22" t="s">
        <v>11</v>
      </c>
      <c r="AD18" s="22" t="s">
        <v>11</v>
      </c>
      <c r="AE18" s="22" t="s">
        <v>11</v>
      </c>
      <c r="AF18" s="22" t="s">
        <v>11</v>
      </c>
      <c r="AG18" s="22" t="s">
        <v>11</v>
      </c>
      <c r="AH18" s="22" t="s">
        <v>11</v>
      </c>
      <c r="AI18" s="13">
        <f t="shared" si="0"/>
        <v>0.77419354838709675</v>
      </c>
    </row>
    <row r="19" spans="1:35" ht="15.75" customHeight="1" x14ac:dyDescent="0.25">
      <c r="A19" s="177" t="s">
        <v>23</v>
      </c>
      <c r="B19" s="178"/>
      <c r="C19" s="179"/>
      <c r="D19" s="16" t="s">
        <v>11</v>
      </c>
      <c r="E19" s="16" t="s">
        <v>11</v>
      </c>
      <c r="F19" s="16" t="s">
        <v>11</v>
      </c>
      <c r="G19" s="16" t="s">
        <v>11</v>
      </c>
      <c r="H19" s="16" t="s">
        <v>11</v>
      </c>
      <c r="I19" s="16" t="s">
        <v>11</v>
      </c>
      <c r="J19" s="16" t="s">
        <v>11</v>
      </c>
      <c r="K19" s="16" t="s">
        <v>11</v>
      </c>
      <c r="L19" s="16" t="s">
        <v>22</v>
      </c>
      <c r="M19" s="16" t="s">
        <v>12</v>
      </c>
      <c r="N19" s="16" t="s">
        <v>12</v>
      </c>
      <c r="O19" s="16" t="s">
        <v>12</v>
      </c>
      <c r="P19" s="16" t="s">
        <v>12</v>
      </c>
      <c r="Q19" s="16" t="s">
        <v>12</v>
      </c>
      <c r="R19" s="16" t="s">
        <v>12</v>
      </c>
      <c r="S19" s="16" t="s">
        <v>12</v>
      </c>
      <c r="T19" s="23" t="s">
        <v>11</v>
      </c>
      <c r="U19" s="23" t="s">
        <v>11</v>
      </c>
      <c r="V19" s="23" t="s">
        <v>11</v>
      </c>
      <c r="W19" s="23" t="s">
        <v>11</v>
      </c>
      <c r="X19" s="23" t="s">
        <v>11</v>
      </c>
      <c r="Y19" s="23" t="s">
        <v>11</v>
      </c>
      <c r="Z19" s="23" t="s">
        <v>11</v>
      </c>
      <c r="AA19" s="23" t="s">
        <v>11</v>
      </c>
      <c r="AB19" s="23" t="s">
        <v>11</v>
      </c>
      <c r="AC19" s="23" t="s">
        <v>11</v>
      </c>
      <c r="AD19" s="23" t="s">
        <v>11</v>
      </c>
      <c r="AE19" s="23" t="s">
        <v>11</v>
      </c>
      <c r="AF19" s="23" t="s">
        <v>11</v>
      </c>
      <c r="AG19" s="23" t="s">
        <v>11</v>
      </c>
      <c r="AH19" s="23" t="s">
        <v>11</v>
      </c>
      <c r="AI19" s="21">
        <f t="shared" si="0"/>
        <v>0.77419354838709675</v>
      </c>
    </row>
    <row r="20" spans="1:35" ht="15.75" customHeight="1" x14ac:dyDescent="0.25">
      <c r="A20" s="177" t="s">
        <v>24</v>
      </c>
      <c r="B20" s="178"/>
      <c r="C20" s="179"/>
      <c r="D20" s="16" t="s">
        <v>11</v>
      </c>
      <c r="E20" s="16" t="s">
        <v>11</v>
      </c>
      <c r="F20" s="16" t="s">
        <v>11</v>
      </c>
      <c r="G20" s="16" t="s">
        <v>11</v>
      </c>
      <c r="H20" s="16" t="s">
        <v>11</v>
      </c>
      <c r="I20" s="16" t="s">
        <v>11</v>
      </c>
      <c r="J20" s="16" t="s">
        <v>11</v>
      </c>
      <c r="K20" s="80" t="s">
        <v>11</v>
      </c>
      <c r="L20" s="80" t="s">
        <v>22</v>
      </c>
      <c r="M20" s="80" t="s">
        <v>12</v>
      </c>
      <c r="N20" s="80" t="s">
        <v>12</v>
      </c>
      <c r="O20" s="80" t="s">
        <v>12</v>
      </c>
      <c r="P20" s="80" t="s">
        <v>12</v>
      </c>
      <c r="Q20" s="80" t="s">
        <v>12</v>
      </c>
      <c r="R20" s="80" t="s">
        <v>12</v>
      </c>
      <c r="S20" s="80" t="s">
        <v>12</v>
      </c>
      <c r="T20" s="23" t="s">
        <v>11</v>
      </c>
      <c r="U20" s="23" t="s">
        <v>11</v>
      </c>
      <c r="V20" s="23" t="s">
        <v>11</v>
      </c>
      <c r="W20" s="23" t="s">
        <v>11</v>
      </c>
      <c r="X20" s="23" t="s">
        <v>11</v>
      </c>
      <c r="Y20" s="23" t="s">
        <v>11</v>
      </c>
      <c r="Z20" s="23" t="s">
        <v>11</v>
      </c>
      <c r="AA20" s="23" t="s">
        <v>11</v>
      </c>
      <c r="AB20" s="23" t="s">
        <v>11</v>
      </c>
      <c r="AC20" s="23" t="s">
        <v>11</v>
      </c>
      <c r="AD20" s="23" t="s">
        <v>11</v>
      </c>
      <c r="AE20" s="23" t="s">
        <v>11</v>
      </c>
      <c r="AF20" s="23" t="s">
        <v>11</v>
      </c>
      <c r="AG20" s="23" t="s">
        <v>11</v>
      </c>
      <c r="AH20" s="23" t="s">
        <v>11</v>
      </c>
      <c r="AI20" s="21">
        <f t="shared" si="0"/>
        <v>0.77419354838709675</v>
      </c>
    </row>
    <row r="21" spans="1:35" ht="15.75" customHeight="1" x14ac:dyDescent="0.25">
      <c r="A21" s="180" t="s">
        <v>25</v>
      </c>
      <c r="B21" s="181"/>
      <c r="C21" s="182"/>
      <c r="D21" s="15" t="s">
        <v>11</v>
      </c>
      <c r="E21" s="15" t="s">
        <v>11</v>
      </c>
      <c r="F21" s="15" t="s">
        <v>11</v>
      </c>
      <c r="G21" s="15" t="s">
        <v>11</v>
      </c>
      <c r="H21" s="15" t="s">
        <v>11</v>
      </c>
      <c r="I21" s="15" t="s">
        <v>11</v>
      </c>
      <c r="J21" s="15" t="s">
        <v>11</v>
      </c>
      <c r="K21" s="73" t="s">
        <v>11</v>
      </c>
      <c r="L21" s="73" t="s">
        <v>22</v>
      </c>
      <c r="M21" s="73" t="s">
        <v>12</v>
      </c>
      <c r="N21" s="73" t="s">
        <v>12</v>
      </c>
      <c r="O21" s="73" t="s">
        <v>12</v>
      </c>
      <c r="P21" s="73" t="s">
        <v>12</v>
      </c>
      <c r="Q21" s="73" t="s">
        <v>12</v>
      </c>
      <c r="R21" s="73" t="s">
        <v>12</v>
      </c>
      <c r="S21" s="73" t="s">
        <v>12</v>
      </c>
      <c r="T21" s="14" t="s">
        <v>11</v>
      </c>
      <c r="U21" s="14" t="s">
        <v>11</v>
      </c>
      <c r="V21" s="14" t="s">
        <v>11</v>
      </c>
      <c r="W21" s="14" t="s">
        <v>11</v>
      </c>
      <c r="X21" s="14" t="s">
        <v>11</v>
      </c>
      <c r="Y21" s="14" t="s">
        <v>11</v>
      </c>
      <c r="Z21" s="14" t="s">
        <v>11</v>
      </c>
      <c r="AA21" s="14" t="s">
        <v>11</v>
      </c>
      <c r="AB21" s="14" t="s">
        <v>11</v>
      </c>
      <c r="AC21" s="14" t="s">
        <v>11</v>
      </c>
      <c r="AD21" s="14" t="s">
        <v>11</v>
      </c>
      <c r="AE21" s="14" t="s">
        <v>11</v>
      </c>
      <c r="AF21" s="14" t="s">
        <v>11</v>
      </c>
      <c r="AG21" s="14" t="s">
        <v>11</v>
      </c>
      <c r="AH21" s="14" t="s">
        <v>11</v>
      </c>
      <c r="AI21" s="17">
        <f t="shared" si="0"/>
        <v>0.77419354838709675</v>
      </c>
    </row>
    <row r="22" spans="1:35" ht="15.75" customHeight="1" x14ac:dyDescent="0.25">
      <c r="A22" s="162" t="s">
        <v>26</v>
      </c>
      <c r="B22" s="163"/>
      <c r="C22" s="164"/>
      <c r="D22" s="81" t="s">
        <v>12</v>
      </c>
      <c r="E22" s="81" t="s">
        <v>12</v>
      </c>
      <c r="F22" s="81" t="s">
        <v>12</v>
      </c>
      <c r="G22" s="81" t="s">
        <v>12</v>
      </c>
      <c r="H22" s="81" t="s">
        <v>12</v>
      </c>
      <c r="I22" s="81" t="s">
        <v>12</v>
      </c>
      <c r="J22" s="81" t="s">
        <v>12</v>
      </c>
      <c r="K22" s="81" t="s">
        <v>12</v>
      </c>
      <c r="L22" s="81" t="s">
        <v>12</v>
      </c>
      <c r="M22" s="81" t="s">
        <v>12</v>
      </c>
      <c r="N22" s="81" t="s">
        <v>12</v>
      </c>
      <c r="O22" s="81" t="s">
        <v>12</v>
      </c>
      <c r="P22" s="81" t="s">
        <v>12</v>
      </c>
      <c r="Q22" s="81" t="s">
        <v>12</v>
      </c>
      <c r="R22" s="81" t="s">
        <v>12</v>
      </c>
      <c r="S22" s="81" t="s">
        <v>12</v>
      </c>
      <c r="T22" s="24" t="s">
        <v>22</v>
      </c>
      <c r="U22" s="24" t="s">
        <v>11</v>
      </c>
      <c r="V22" s="24" t="s">
        <v>11</v>
      </c>
      <c r="W22" s="24" t="s">
        <v>22</v>
      </c>
      <c r="X22" s="24" t="s">
        <v>22</v>
      </c>
      <c r="Y22" s="24" t="s">
        <v>22</v>
      </c>
      <c r="Z22" s="24" t="s">
        <v>22</v>
      </c>
      <c r="AA22" s="24" t="s">
        <v>12</v>
      </c>
      <c r="AB22" s="24" t="s">
        <v>12</v>
      </c>
      <c r="AC22" s="24" t="s">
        <v>12</v>
      </c>
      <c r="AD22" s="24" t="s">
        <v>12</v>
      </c>
      <c r="AE22" s="24" t="s">
        <v>12</v>
      </c>
      <c r="AF22" s="24" t="s">
        <v>12</v>
      </c>
      <c r="AG22" s="24" t="s">
        <v>12</v>
      </c>
      <c r="AH22" s="24" t="s">
        <v>22</v>
      </c>
      <c r="AI22" s="19">
        <f t="shared" si="0"/>
        <v>0.25806451612903225</v>
      </c>
    </row>
    <row r="23" spans="1:35" ht="15.75" customHeight="1" x14ac:dyDescent="0.25">
      <c r="A23" s="174" t="s">
        <v>27</v>
      </c>
      <c r="B23" s="175"/>
      <c r="C23" s="176"/>
      <c r="D23" s="22" t="s">
        <v>12</v>
      </c>
      <c r="E23" s="22" t="s">
        <v>12</v>
      </c>
      <c r="F23" s="22" t="s">
        <v>12</v>
      </c>
      <c r="G23" s="22" t="s">
        <v>12</v>
      </c>
      <c r="H23" s="22" t="s">
        <v>12</v>
      </c>
      <c r="I23" s="22" t="s">
        <v>11</v>
      </c>
      <c r="J23" s="22" t="s">
        <v>11</v>
      </c>
      <c r="K23" s="22" t="s">
        <v>11</v>
      </c>
      <c r="L23" s="22" t="s">
        <v>11</v>
      </c>
      <c r="M23" s="20" t="s">
        <v>11</v>
      </c>
      <c r="N23" s="20" t="s">
        <v>11</v>
      </c>
      <c r="O23" s="20" t="s">
        <v>11</v>
      </c>
      <c r="P23" s="20" t="s">
        <v>11</v>
      </c>
      <c r="Q23" s="20" t="s">
        <v>11</v>
      </c>
      <c r="R23" s="20" t="s">
        <v>11</v>
      </c>
      <c r="S23" s="20" t="s">
        <v>11</v>
      </c>
      <c r="T23" s="79" t="s">
        <v>11</v>
      </c>
      <c r="U23" s="79" t="s">
        <v>11</v>
      </c>
      <c r="V23" s="79" t="s">
        <v>11</v>
      </c>
      <c r="W23" s="79" t="s">
        <v>11</v>
      </c>
      <c r="X23" s="79" t="s">
        <v>11</v>
      </c>
      <c r="Y23" s="79" t="s">
        <v>11</v>
      </c>
      <c r="Z23" s="79" t="s">
        <v>11</v>
      </c>
      <c r="AA23" s="79" t="s">
        <v>11</v>
      </c>
      <c r="AB23" s="22" t="s">
        <v>12</v>
      </c>
      <c r="AC23" s="22" t="s">
        <v>12</v>
      </c>
      <c r="AD23" s="22" t="s">
        <v>12</v>
      </c>
      <c r="AE23" s="22" t="s">
        <v>12</v>
      </c>
      <c r="AF23" s="22" t="s">
        <v>12</v>
      </c>
      <c r="AG23" s="22" t="s">
        <v>12</v>
      </c>
      <c r="AH23" s="22" t="s">
        <v>12</v>
      </c>
      <c r="AI23" s="13">
        <f t="shared" si="0"/>
        <v>0.61290322580645162</v>
      </c>
    </row>
    <row r="24" spans="1:35" ht="15.75" customHeight="1" x14ac:dyDescent="0.25">
      <c r="A24" s="180" t="s">
        <v>28</v>
      </c>
      <c r="B24" s="181"/>
      <c r="C24" s="182"/>
      <c r="D24" s="14" t="s">
        <v>12</v>
      </c>
      <c r="E24" s="14" t="s">
        <v>12</v>
      </c>
      <c r="F24" s="14" t="s">
        <v>12</v>
      </c>
      <c r="G24" s="14" t="s">
        <v>12</v>
      </c>
      <c r="H24" s="14" t="s">
        <v>12</v>
      </c>
      <c r="I24" s="14" t="s">
        <v>11</v>
      </c>
      <c r="J24" s="14" t="s">
        <v>11</v>
      </c>
      <c r="K24" s="14" t="s">
        <v>11</v>
      </c>
      <c r="L24" s="14" t="s">
        <v>11</v>
      </c>
      <c r="M24" s="15" t="s">
        <v>11</v>
      </c>
      <c r="N24" s="15" t="s">
        <v>11</v>
      </c>
      <c r="O24" s="15" t="s">
        <v>11</v>
      </c>
      <c r="P24" s="15" t="s">
        <v>11</v>
      </c>
      <c r="Q24" s="15" t="s">
        <v>11</v>
      </c>
      <c r="R24" s="15" t="s">
        <v>11</v>
      </c>
      <c r="S24" s="15" t="s">
        <v>11</v>
      </c>
      <c r="T24" s="73" t="s">
        <v>11</v>
      </c>
      <c r="U24" s="73" t="s">
        <v>11</v>
      </c>
      <c r="V24" s="73" t="s">
        <v>11</v>
      </c>
      <c r="W24" s="73" t="s">
        <v>11</v>
      </c>
      <c r="X24" s="73" t="s">
        <v>11</v>
      </c>
      <c r="Y24" s="73" t="s">
        <v>11</v>
      </c>
      <c r="Z24" s="73" t="s">
        <v>11</v>
      </c>
      <c r="AA24" s="73" t="s">
        <v>11</v>
      </c>
      <c r="AB24" s="14" t="s">
        <v>12</v>
      </c>
      <c r="AC24" s="14" t="s">
        <v>12</v>
      </c>
      <c r="AD24" s="14" t="s">
        <v>12</v>
      </c>
      <c r="AE24" s="14" t="s">
        <v>12</v>
      </c>
      <c r="AF24" s="14" t="s">
        <v>12</v>
      </c>
      <c r="AG24" s="14" t="s">
        <v>12</v>
      </c>
      <c r="AH24" s="14" t="s">
        <v>12</v>
      </c>
      <c r="AI24" s="17">
        <f t="shared" si="0"/>
        <v>0.61290322580645162</v>
      </c>
    </row>
    <row r="25" spans="1:35" ht="15.75" customHeight="1" x14ac:dyDescent="0.25">
      <c r="A25" s="162" t="s">
        <v>29</v>
      </c>
      <c r="B25" s="163"/>
      <c r="C25" s="164"/>
      <c r="D25" s="81" t="s">
        <v>11</v>
      </c>
      <c r="E25" s="81" t="s">
        <v>11</v>
      </c>
      <c r="F25" s="81" t="s">
        <v>22</v>
      </c>
      <c r="G25" s="81" t="s">
        <v>22</v>
      </c>
      <c r="H25" s="81" t="s">
        <v>11</v>
      </c>
      <c r="I25" s="81" t="s">
        <v>11</v>
      </c>
      <c r="J25" s="81" t="s">
        <v>11</v>
      </c>
      <c r="K25" s="81" t="s">
        <v>11</v>
      </c>
      <c r="L25" s="81" t="s">
        <v>11</v>
      </c>
      <c r="M25" s="25" t="s">
        <v>22</v>
      </c>
      <c r="N25" s="25" t="s">
        <v>22</v>
      </c>
      <c r="O25" s="25" t="s">
        <v>22</v>
      </c>
      <c r="P25" s="25" t="s">
        <v>22</v>
      </c>
      <c r="Q25" s="25" t="s">
        <v>22</v>
      </c>
      <c r="R25" s="25" t="s">
        <v>22</v>
      </c>
      <c r="S25" s="25" t="s">
        <v>22</v>
      </c>
      <c r="T25" s="26" t="s">
        <v>11</v>
      </c>
      <c r="U25" s="26" t="s">
        <v>11</v>
      </c>
      <c r="V25" s="26" t="s">
        <v>11</v>
      </c>
      <c r="W25" s="26" t="s">
        <v>11</v>
      </c>
      <c r="X25" s="26" t="s">
        <v>11</v>
      </c>
      <c r="Y25" s="26" t="s">
        <v>11</v>
      </c>
      <c r="Z25" s="26" t="s">
        <v>11</v>
      </c>
      <c r="AA25" s="26" t="s">
        <v>22</v>
      </c>
      <c r="AB25" s="26" t="s">
        <v>22</v>
      </c>
      <c r="AC25" s="26" t="s">
        <v>22</v>
      </c>
      <c r="AD25" s="26" t="s">
        <v>22</v>
      </c>
      <c r="AE25" s="26" t="s">
        <v>22</v>
      </c>
      <c r="AF25" s="26" t="s">
        <v>22</v>
      </c>
      <c r="AG25" s="26" t="s">
        <v>22</v>
      </c>
      <c r="AH25" s="26" t="s">
        <v>11</v>
      </c>
      <c r="AI25" s="19">
        <f t="shared" si="0"/>
        <v>1</v>
      </c>
    </row>
    <row r="26" spans="1:35" ht="15.75" customHeight="1" x14ac:dyDescent="0.25">
      <c r="A26" s="162" t="s">
        <v>30</v>
      </c>
      <c r="B26" s="163"/>
      <c r="C26" s="164"/>
      <c r="D26" s="81" t="s">
        <v>11</v>
      </c>
      <c r="E26" s="81" t="s">
        <v>11</v>
      </c>
      <c r="F26" s="81" t="s">
        <v>22</v>
      </c>
      <c r="G26" s="81" t="s">
        <v>22</v>
      </c>
      <c r="H26" s="81" t="s">
        <v>11</v>
      </c>
      <c r="I26" s="81" t="s">
        <v>11</v>
      </c>
      <c r="J26" s="81" t="s">
        <v>11</v>
      </c>
      <c r="K26" s="81" t="s">
        <v>11</v>
      </c>
      <c r="L26" s="81" t="s">
        <v>11</v>
      </c>
      <c r="M26" s="81" t="s">
        <v>22</v>
      </c>
      <c r="N26" s="81" t="s">
        <v>22</v>
      </c>
      <c r="O26" s="81" t="s">
        <v>22</v>
      </c>
      <c r="P26" s="81" t="s">
        <v>22</v>
      </c>
      <c r="Q26" s="81" t="s">
        <v>22</v>
      </c>
      <c r="R26" s="81" t="s">
        <v>22</v>
      </c>
      <c r="S26" s="81" t="s">
        <v>22</v>
      </c>
      <c r="T26" s="81" t="s">
        <v>11</v>
      </c>
      <c r="U26" s="81" t="s">
        <v>11</v>
      </c>
      <c r="V26" s="81" t="s">
        <v>11</v>
      </c>
      <c r="W26" s="81" t="s">
        <v>11</v>
      </c>
      <c r="X26" s="81" t="s">
        <v>11</v>
      </c>
      <c r="Y26" s="81" t="s">
        <v>11</v>
      </c>
      <c r="Z26" s="81" t="s">
        <v>11</v>
      </c>
      <c r="AA26" s="81" t="s">
        <v>22</v>
      </c>
      <c r="AB26" s="81" t="s">
        <v>22</v>
      </c>
      <c r="AC26" s="81" t="s">
        <v>22</v>
      </c>
      <c r="AD26" s="81" t="s">
        <v>22</v>
      </c>
      <c r="AE26" s="81" t="s">
        <v>22</v>
      </c>
      <c r="AF26" s="81" t="s">
        <v>22</v>
      </c>
      <c r="AG26" s="81" t="s">
        <v>22</v>
      </c>
      <c r="AH26" s="81" t="s">
        <v>11</v>
      </c>
      <c r="AI26" s="19">
        <f t="shared" si="0"/>
        <v>1</v>
      </c>
    </row>
    <row r="27" spans="1:35" ht="15.75" customHeight="1" x14ac:dyDescent="0.25">
      <c r="A27" s="156" t="s">
        <v>31</v>
      </c>
      <c r="B27" s="157"/>
      <c r="C27" s="158"/>
      <c r="D27" s="72" t="s">
        <v>12</v>
      </c>
      <c r="E27" s="72" t="s">
        <v>12</v>
      </c>
      <c r="F27" s="72" t="s">
        <v>12</v>
      </c>
      <c r="G27" s="72" t="s">
        <v>22</v>
      </c>
      <c r="H27" s="72" t="s">
        <v>9</v>
      </c>
      <c r="I27" s="72" t="s">
        <v>12</v>
      </c>
      <c r="J27" s="72" t="s">
        <v>12</v>
      </c>
      <c r="K27" s="72" t="s">
        <v>12</v>
      </c>
      <c r="L27" s="72" t="s">
        <v>12</v>
      </c>
      <c r="M27" s="72" t="s">
        <v>12</v>
      </c>
      <c r="N27" s="72" t="s">
        <v>12</v>
      </c>
      <c r="O27" s="72" t="s">
        <v>12</v>
      </c>
      <c r="P27" s="72" t="s">
        <v>12</v>
      </c>
      <c r="Q27" s="72" t="s">
        <v>12</v>
      </c>
      <c r="R27" s="72" t="s">
        <v>12</v>
      </c>
      <c r="S27" s="72" t="s">
        <v>12</v>
      </c>
      <c r="T27" s="27" t="s">
        <v>12</v>
      </c>
      <c r="U27" s="27" t="s">
        <v>12</v>
      </c>
      <c r="V27" s="27" t="s">
        <v>12</v>
      </c>
      <c r="W27" s="27" t="s">
        <v>12</v>
      </c>
      <c r="X27" s="27" t="s">
        <v>12</v>
      </c>
      <c r="Y27" s="27" t="s">
        <v>12</v>
      </c>
      <c r="Z27" s="27" t="s">
        <v>12</v>
      </c>
      <c r="AA27" s="27" t="s">
        <v>12</v>
      </c>
      <c r="AB27" s="27" t="s">
        <v>12</v>
      </c>
      <c r="AC27" s="27" t="s">
        <v>12</v>
      </c>
      <c r="AD27" s="27" t="s">
        <v>12</v>
      </c>
      <c r="AE27" s="27" t="s">
        <v>12</v>
      </c>
      <c r="AF27" s="27" t="s">
        <v>12</v>
      </c>
      <c r="AG27" s="27" t="s">
        <v>12</v>
      </c>
      <c r="AH27" s="27" t="s">
        <v>12</v>
      </c>
      <c r="AI27" s="13">
        <f t="shared" si="0"/>
        <v>6.4516129032258063E-2</v>
      </c>
    </row>
    <row r="28" spans="1:35" ht="15.75" customHeight="1" x14ac:dyDescent="0.25">
      <c r="A28" s="183" t="s">
        <v>32</v>
      </c>
      <c r="B28" s="184"/>
      <c r="C28" s="185"/>
      <c r="D28" s="28">
        <v>2</v>
      </c>
      <c r="E28" s="28">
        <v>2</v>
      </c>
      <c r="F28" s="28">
        <v>2</v>
      </c>
      <c r="G28" s="28" t="s">
        <v>114</v>
      </c>
      <c r="H28" s="28">
        <v>2</v>
      </c>
      <c r="I28" s="28">
        <v>2</v>
      </c>
      <c r="J28" s="28">
        <v>0</v>
      </c>
      <c r="K28" s="82">
        <v>2</v>
      </c>
      <c r="L28" s="82">
        <v>2</v>
      </c>
      <c r="M28" s="82">
        <v>2</v>
      </c>
      <c r="N28" s="82">
        <v>2</v>
      </c>
      <c r="O28" s="82">
        <v>2</v>
      </c>
      <c r="P28" s="82">
        <v>2</v>
      </c>
      <c r="Q28" s="82">
        <v>2</v>
      </c>
      <c r="R28" s="82">
        <v>2</v>
      </c>
      <c r="S28" s="82">
        <v>0</v>
      </c>
      <c r="T28" s="28">
        <v>2</v>
      </c>
      <c r="U28" s="28" t="s">
        <v>115</v>
      </c>
      <c r="V28" s="28" t="s">
        <v>114</v>
      </c>
      <c r="W28" s="28">
        <v>0</v>
      </c>
      <c r="X28" s="28">
        <v>0</v>
      </c>
      <c r="Y28" s="28">
        <v>2</v>
      </c>
      <c r="Z28" s="28">
        <v>2</v>
      </c>
      <c r="AA28" s="75">
        <v>2</v>
      </c>
      <c r="AB28" s="75">
        <v>2</v>
      </c>
      <c r="AC28" s="75">
        <v>2</v>
      </c>
      <c r="AD28" s="75">
        <v>2</v>
      </c>
      <c r="AE28" s="75">
        <v>0</v>
      </c>
      <c r="AF28" s="75">
        <v>0</v>
      </c>
      <c r="AG28" s="75">
        <v>0</v>
      </c>
      <c r="AH28" s="75">
        <v>2</v>
      </c>
      <c r="AI28" s="17">
        <f>IF(COUNTA(D28:AH28)&gt;0,(COUNTA(D28:AH28)-COUNTIF(D28:AH28,"NB")-COUNTIF(D28:AH28,"DN")-COUNTIF(D28:AH28,"An")-COUNTIF(D28:AH28,"NB^")-COUNTIF(D28:AH28,0))/COUNTA(D28:AH28),"")</f>
        <v>0.77419354838709675</v>
      </c>
    </row>
    <row r="29" spans="1:35" ht="15.75" customHeight="1" x14ac:dyDescent="0.25">
      <c r="A29" s="171" t="s">
        <v>97</v>
      </c>
      <c r="B29" s="172"/>
      <c r="C29" s="173"/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83">
        <v>0</v>
      </c>
      <c r="L29" s="83">
        <v>0</v>
      </c>
      <c r="M29" s="83">
        <v>0</v>
      </c>
      <c r="N29" s="83">
        <v>0</v>
      </c>
      <c r="O29" s="83">
        <v>0</v>
      </c>
      <c r="P29" s="83">
        <v>0</v>
      </c>
      <c r="Q29" s="83">
        <v>0</v>
      </c>
      <c r="R29" s="83">
        <v>0</v>
      </c>
      <c r="S29" s="83">
        <v>0</v>
      </c>
      <c r="T29" s="83">
        <v>0</v>
      </c>
      <c r="U29" s="83">
        <v>0</v>
      </c>
      <c r="V29" s="83">
        <v>0</v>
      </c>
      <c r="W29" s="83">
        <v>0</v>
      </c>
      <c r="X29" s="83">
        <v>0</v>
      </c>
      <c r="Y29" s="83">
        <v>0</v>
      </c>
      <c r="Z29" s="83">
        <v>0</v>
      </c>
      <c r="AA29" s="83">
        <v>0</v>
      </c>
      <c r="AB29" s="83">
        <v>0</v>
      </c>
      <c r="AC29" s="83">
        <v>0</v>
      </c>
      <c r="AD29" s="83">
        <v>0</v>
      </c>
      <c r="AE29" s="83">
        <v>0</v>
      </c>
      <c r="AF29" s="83">
        <v>0</v>
      </c>
      <c r="AG29" s="83">
        <v>0</v>
      </c>
      <c r="AH29" s="83">
        <v>0</v>
      </c>
      <c r="AI29" s="19">
        <f>IF(COUNTA(D29:AH29)&gt;0,(COUNTA(D29:AH29)-COUNTIF(D29:AH29,"NB")-COUNTIF(D29:AH29,"DN")-COUNTIF(D29:AH29,"An")-COUNTIF(D29:AH29,"NB^")-COUNTIF(D29:AH29,0))/COUNTA(D29:AH29),"")</f>
        <v>0</v>
      </c>
    </row>
    <row r="30" spans="1:35" ht="15.75" customHeight="1" x14ac:dyDescent="0.25">
      <c r="A30" s="153" t="s">
        <v>33</v>
      </c>
      <c r="B30" s="154"/>
      <c r="C30" s="155"/>
      <c r="D30" s="84" t="s">
        <v>12</v>
      </c>
      <c r="E30" s="84" t="s">
        <v>12</v>
      </c>
      <c r="F30" s="84" t="s">
        <v>12</v>
      </c>
      <c r="G30" s="84" t="s">
        <v>12</v>
      </c>
      <c r="H30" s="84" t="s">
        <v>12</v>
      </c>
      <c r="I30" s="84" t="s">
        <v>12</v>
      </c>
      <c r="J30" s="84" t="s">
        <v>12</v>
      </c>
      <c r="K30" s="84" t="s">
        <v>12</v>
      </c>
      <c r="L30" s="84" t="s">
        <v>12</v>
      </c>
      <c r="M30" s="84" t="s">
        <v>12</v>
      </c>
      <c r="N30" s="84" t="s">
        <v>12</v>
      </c>
      <c r="O30" s="84" t="s">
        <v>12</v>
      </c>
      <c r="P30" s="84" t="s">
        <v>12</v>
      </c>
      <c r="Q30" s="84" t="s">
        <v>12</v>
      </c>
      <c r="R30" s="84" t="s">
        <v>12</v>
      </c>
      <c r="S30" s="84" t="s">
        <v>12</v>
      </c>
      <c r="T30" s="84" t="s">
        <v>12</v>
      </c>
      <c r="U30" s="84" t="s">
        <v>12</v>
      </c>
      <c r="V30" s="84" t="s">
        <v>12</v>
      </c>
      <c r="W30" s="84" t="s">
        <v>12</v>
      </c>
      <c r="X30" s="84" t="s">
        <v>12</v>
      </c>
      <c r="Y30" s="84" t="s">
        <v>12</v>
      </c>
      <c r="Z30" s="84" t="s">
        <v>12</v>
      </c>
      <c r="AA30" s="84" t="s">
        <v>12</v>
      </c>
      <c r="AB30" s="84" t="s">
        <v>12</v>
      </c>
      <c r="AC30" s="84" t="s">
        <v>12</v>
      </c>
      <c r="AD30" s="84" t="s">
        <v>12</v>
      </c>
      <c r="AE30" s="84" t="s">
        <v>12</v>
      </c>
      <c r="AF30" s="84" t="s">
        <v>12</v>
      </c>
      <c r="AG30" s="84" t="s">
        <v>12</v>
      </c>
      <c r="AH30" s="84" t="s">
        <v>12</v>
      </c>
      <c r="AI30" s="19">
        <f>IF(COUNTA(D30:AH30)&gt;0,(COUNTA(D30:AH30)-COUNTIF(D30:AH30,"NB")-COUNTIF(D30:AH30,"DN")-COUNTIF(D30:AH30,"An")-COUNTIF(D30:AH30,"NB^")-COUNTIF(D30:AH30,0))/COUNTA(D30:AH30),"")</f>
        <v>0</v>
      </c>
    </row>
    <row r="31" spans="1:35" ht="15.75" customHeight="1" x14ac:dyDescent="0.25">
      <c r="A31" s="156" t="s">
        <v>34</v>
      </c>
      <c r="B31" s="157"/>
      <c r="C31" s="158"/>
      <c r="D31" s="72" t="s">
        <v>12</v>
      </c>
      <c r="E31" s="72" t="s">
        <v>12</v>
      </c>
      <c r="F31" s="72" t="s">
        <v>12</v>
      </c>
      <c r="G31" s="72" t="s">
        <v>12</v>
      </c>
      <c r="H31" s="72" t="s">
        <v>22</v>
      </c>
      <c r="I31" s="72" t="s">
        <v>22</v>
      </c>
      <c r="J31" s="72" t="s">
        <v>12</v>
      </c>
      <c r="K31" s="72" t="s">
        <v>12</v>
      </c>
      <c r="L31" s="72" t="s">
        <v>12</v>
      </c>
      <c r="M31" s="72" t="s">
        <v>12</v>
      </c>
      <c r="N31" s="72" t="s">
        <v>12</v>
      </c>
      <c r="O31" s="72" t="s">
        <v>12</v>
      </c>
      <c r="P31" s="72" t="s">
        <v>12</v>
      </c>
      <c r="Q31" s="72" t="s">
        <v>12</v>
      </c>
      <c r="R31" s="72" t="s">
        <v>12</v>
      </c>
      <c r="S31" s="72" t="s">
        <v>12</v>
      </c>
      <c r="T31" s="72" t="s">
        <v>12</v>
      </c>
      <c r="U31" s="72" t="s">
        <v>12</v>
      </c>
      <c r="V31" s="72" t="s">
        <v>12</v>
      </c>
      <c r="W31" s="72" t="s">
        <v>12</v>
      </c>
      <c r="X31" s="72" t="s">
        <v>12</v>
      </c>
      <c r="Y31" s="72" t="s">
        <v>12</v>
      </c>
      <c r="Z31" s="72" t="s">
        <v>12</v>
      </c>
      <c r="AA31" s="72" t="s">
        <v>12</v>
      </c>
      <c r="AB31" s="72" t="s">
        <v>12</v>
      </c>
      <c r="AC31" s="72" t="s">
        <v>12</v>
      </c>
      <c r="AD31" s="72" t="s">
        <v>12</v>
      </c>
      <c r="AE31" s="72" t="s">
        <v>12</v>
      </c>
      <c r="AF31" s="72" t="s">
        <v>12</v>
      </c>
      <c r="AG31" s="72" t="s">
        <v>12</v>
      </c>
      <c r="AH31" s="72" t="s">
        <v>12</v>
      </c>
      <c r="AI31" s="13">
        <f>IF(COUNTA(D31:AH31)&gt;0,(COUNTA(D31:AH31)-COUNTIF(D31:AH31,"NB")-COUNTIF(D31:AH31,"DN")-COUNTIF(D31:AH31,"An")-COUNTIF(D31:AH31,"NB^")-COUNTIF(D31:AH31,0))/COUNTA(D31:AH31),"")</f>
        <v>6.4516129032258063E-2</v>
      </c>
    </row>
    <row r="32" spans="1:35" ht="15.75" customHeight="1" x14ac:dyDescent="0.25">
      <c r="A32" s="159" t="s">
        <v>35</v>
      </c>
      <c r="B32" s="160"/>
      <c r="C32" s="161"/>
      <c r="D32" s="85" t="s">
        <v>12</v>
      </c>
      <c r="E32" s="85" t="s">
        <v>12</v>
      </c>
      <c r="F32" s="85" t="s">
        <v>12</v>
      </c>
      <c r="G32" s="85" t="s">
        <v>12</v>
      </c>
      <c r="H32" s="85" t="s">
        <v>22</v>
      </c>
      <c r="I32" s="85" t="s">
        <v>22</v>
      </c>
      <c r="J32" s="85" t="s">
        <v>12</v>
      </c>
      <c r="K32" s="85" t="s">
        <v>12</v>
      </c>
      <c r="L32" s="85" t="s">
        <v>12</v>
      </c>
      <c r="M32" s="85" t="s">
        <v>12</v>
      </c>
      <c r="N32" s="85" t="s">
        <v>12</v>
      </c>
      <c r="O32" s="85" t="s">
        <v>12</v>
      </c>
      <c r="P32" s="85" t="s">
        <v>12</v>
      </c>
      <c r="Q32" s="85" t="s">
        <v>12</v>
      </c>
      <c r="R32" s="85" t="s">
        <v>12</v>
      </c>
      <c r="S32" s="85" t="s">
        <v>12</v>
      </c>
      <c r="T32" s="85" t="s">
        <v>12</v>
      </c>
      <c r="U32" s="85" t="s">
        <v>12</v>
      </c>
      <c r="V32" s="85" t="s">
        <v>12</v>
      </c>
      <c r="W32" s="85" t="s">
        <v>12</v>
      </c>
      <c r="X32" s="85" t="s">
        <v>12</v>
      </c>
      <c r="Y32" s="85" t="s">
        <v>12</v>
      </c>
      <c r="Z32" s="85" t="s">
        <v>12</v>
      </c>
      <c r="AA32" s="85" t="s">
        <v>12</v>
      </c>
      <c r="AB32" s="85" t="s">
        <v>12</v>
      </c>
      <c r="AC32" s="85" t="s">
        <v>12</v>
      </c>
      <c r="AD32" s="85" t="s">
        <v>12</v>
      </c>
      <c r="AE32" s="85" t="s">
        <v>12</v>
      </c>
      <c r="AF32" s="85" t="s">
        <v>12</v>
      </c>
      <c r="AG32" s="85" t="s">
        <v>12</v>
      </c>
      <c r="AH32" s="85" t="s">
        <v>12</v>
      </c>
      <c r="AI32" s="17">
        <f t="shared" si="0"/>
        <v>6.4516129032258063E-2</v>
      </c>
    </row>
    <row r="33" spans="1:44" ht="15.75" customHeight="1" x14ac:dyDescent="0.25">
      <c r="A33" s="162" t="s">
        <v>36</v>
      </c>
      <c r="B33" s="163"/>
      <c r="C33" s="164"/>
      <c r="D33" s="25" t="s">
        <v>12</v>
      </c>
      <c r="E33" s="25" t="s">
        <v>12</v>
      </c>
      <c r="F33" s="25" t="s">
        <v>12</v>
      </c>
      <c r="G33" s="25" t="s">
        <v>12</v>
      </c>
      <c r="H33" s="25" t="s">
        <v>22</v>
      </c>
      <c r="I33" s="25" t="s">
        <v>22</v>
      </c>
      <c r="J33" s="25" t="s">
        <v>12</v>
      </c>
      <c r="K33" s="81" t="s">
        <v>12</v>
      </c>
      <c r="L33" s="81" t="s">
        <v>12</v>
      </c>
      <c r="M33" s="81" t="s">
        <v>12</v>
      </c>
      <c r="N33" s="81" t="s">
        <v>12</v>
      </c>
      <c r="O33" s="81" t="s">
        <v>12</v>
      </c>
      <c r="P33" s="81" t="s">
        <v>12</v>
      </c>
      <c r="Q33" s="81" t="s">
        <v>12</v>
      </c>
      <c r="R33" s="81" t="s">
        <v>12</v>
      </c>
      <c r="S33" s="81" t="s">
        <v>12</v>
      </c>
      <c r="T33" s="25" t="s">
        <v>12</v>
      </c>
      <c r="U33" s="25" t="s">
        <v>12</v>
      </c>
      <c r="V33" s="25" t="s">
        <v>12</v>
      </c>
      <c r="W33" s="25" t="s">
        <v>12</v>
      </c>
      <c r="X33" s="25" t="s">
        <v>12</v>
      </c>
      <c r="Y33" s="25" t="s">
        <v>12</v>
      </c>
      <c r="Z33" s="25" t="s">
        <v>12</v>
      </c>
      <c r="AA33" s="25" t="s">
        <v>12</v>
      </c>
      <c r="AB33" s="25" t="s">
        <v>12</v>
      </c>
      <c r="AC33" s="25" t="s">
        <v>12</v>
      </c>
      <c r="AD33" s="25" t="s">
        <v>12</v>
      </c>
      <c r="AE33" s="25" t="s">
        <v>12</v>
      </c>
      <c r="AF33" s="25" t="s">
        <v>12</v>
      </c>
      <c r="AG33" s="25" t="s">
        <v>12</v>
      </c>
      <c r="AH33" s="25" t="s">
        <v>12</v>
      </c>
      <c r="AI33" s="19">
        <f t="shared" si="0"/>
        <v>6.4516129032258063E-2</v>
      </c>
    </row>
    <row r="34" spans="1:44" ht="15.75" customHeight="1" x14ac:dyDescent="0.25">
      <c r="A34" s="162" t="s">
        <v>95</v>
      </c>
      <c r="B34" s="163"/>
      <c r="C34" s="164"/>
      <c r="D34" s="25" t="s">
        <v>12</v>
      </c>
      <c r="E34" s="25" t="s">
        <v>12</v>
      </c>
      <c r="F34" s="25" t="s">
        <v>12</v>
      </c>
      <c r="G34" s="25" t="s">
        <v>12</v>
      </c>
      <c r="H34" s="25" t="s">
        <v>22</v>
      </c>
      <c r="I34" s="25" t="s">
        <v>22</v>
      </c>
      <c r="J34" s="25" t="s">
        <v>12</v>
      </c>
      <c r="K34" s="81" t="s">
        <v>12</v>
      </c>
      <c r="L34" s="81" t="s">
        <v>12</v>
      </c>
      <c r="M34" s="81" t="s">
        <v>12</v>
      </c>
      <c r="N34" s="81" t="s">
        <v>12</v>
      </c>
      <c r="O34" s="81" t="s">
        <v>12</v>
      </c>
      <c r="P34" s="81" t="s">
        <v>12</v>
      </c>
      <c r="Q34" s="81" t="s">
        <v>12</v>
      </c>
      <c r="R34" s="81" t="s">
        <v>12</v>
      </c>
      <c r="S34" s="81" t="s">
        <v>12</v>
      </c>
      <c r="T34" s="24" t="s">
        <v>12</v>
      </c>
      <c r="U34" s="24" t="s">
        <v>12</v>
      </c>
      <c r="V34" s="24" t="s">
        <v>12</v>
      </c>
      <c r="W34" s="24" t="s">
        <v>12</v>
      </c>
      <c r="X34" s="24" t="s">
        <v>12</v>
      </c>
      <c r="Y34" s="24" t="s">
        <v>12</v>
      </c>
      <c r="Z34" s="24" t="s">
        <v>12</v>
      </c>
      <c r="AA34" s="25" t="s">
        <v>12</v>
      </c>
      <c r="AB34" s="25" t="s">
        <v>12</v>
      </c>
      <c r="AC34" s="25" t="s">
        <v>12</v>
      </c>
      <c r="AD34" s="25" t="s">
        <v>12</v>
      </c>
      <c r="AE34" s="25" t="s">
        <v>12</v>
      </c>
      <c r="AF34" s="25" t="s">
        <v>12</v>
      </c>
      <c r="AG34" s="25" t="s">
        <v>12</v>
      </c>
      <c r="AH34" s="25" t="s">
        <v>12</v>
      </c>
      <c r="AI34" s="19">
        <f t="shared" si="0"/>
        <v>6.4516129032258063E-2</v>
      </c>
    </row>
    <row r="35" spans="1:44" ht="15.75" customHeight="1" thickBot="1" x14ac:dyDescent="0.3">
      <c r="A35" s="165" t="s">
        <v>96</v>
      </c>
      <c r="B35" s="166"/>
      <c r="C35" s="167"/>
      <c r="D35" s="97" t="s">
        <v>12</v>
      </c>
      <c r="E35" s="97" t="s">
        <v>12</v>
      </c>
      <c r="F35" s="97" t="s">
        <v>12</v>
      </c>
      <c r="G35" s="97" t="s">
        <v>12</v>
      </c>
      <c r="H35" s="97" t="s">
        <v>22</v>
      </c>
      <c r="I35" s="97" t="s">
        <v>22</v>
      </c>
      <c r="J35" s="97" t="s">
        <v>12</v>
      </c>
      <c r="K35" s="95" t="s">
        <v>12</v>
      </c>
      <c r="L35" s="95" t="s">
        <v>12</v>
      </c>
      <c r="M35" s="95" t="s">
        <v>12</v>
      </c>
      <c r="N35" s="95" t="s">
        <v>12</v>
      </c>
      <c r="O35" s="95" t="s">
        <v>22</v>
      </c>
      <c r="P35" s="95" t="s">
        <v>22</v>
      </c>
      <c r="Q35" s="95" t="s">
        <v>12</v>
      </c>
      <c r="R35" s="95" t="s">
        <v>12</v>
      </c>
      <c r="S35" s="95" t="s">
        <v>12</v>
      </c>
      <c r="T35" s="96" t="s">
        <v>12</v>
      </c>
      <c r="U35" s="96" t="s">
        <v>12</v>
      </c>
      <c r="V35" s="96" t="s">
        <v>12</v>
      </c>
      <c r="W35" s="96" t="s">
        <v>12</v>
      </c>
      <c r="X35" s="96" t="s">
        <v>12</v>
      </c>
      <c r="Y35" s="96" t="s">
        <v>12</v>
      </c>
      <c r="Z35" s="96" t="s">
        <v>12</v>
      </c>
      <c r="AA35" s="97" t="s">
        <v>12</v>
      </c>
      <c r="AB35" s="97" t="s">
        <v>12</v>
      </c>
      <c r="AC35" s="97" t="s">
        <v>12</v>
      </c>
      <c r="AD35" s="97" t="s">
        <v>12</v>
      </c>
      <c r="AE35" s="97" t="s">
        <v>12</v>
      </c>
      <c r="AF35" s="97" t="s">
        <v>12</v>
      </c>
      <c r="AG35" s="97" t="s">
        <v>12</v>
      </c>
      <c r="AH35" s="97" t="s">
        <v>12</v>
      </c>
      <c r="AI35" s="98">
        <f t="shared" si="0"/>
        <v>0.12903225806451613</v>
      </c>
    </row>
    <row r="36" spans="1:44" s="32" customFormat="1" ht="15.75" customHeight="1" x14ac:dyDescent="0.25">
      <c r="A36" s="150" t="s">
        <v>37</v>
      </c>
      <c r="B36" s="151"/>
      <c r="C36" s="152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7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8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68" t="s">
        <v>38</v>
      </c>
      <c r="B37" s="169"/>
      <c r="C37" s="170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9"/>
      <c r="AI37" s="35"/>
    </row>
    <row r="38" spans="1:44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/>
      </c>
      <c r="E38" s="37" t="str">
        <f>IF(AND(E5&gt;0,COUNTA(E6:E37)&gt;0,COUNTA(E6:E37)-COUNTIF(E6:E37,"NB")-COUNTIF(E30:E31, "0")=COUNTA(E6:E37)),"AB","")</f>
        <v/>
      </c>
      <c r="F38" s="37" t="str">
        <f>IF(AND(F5&gt;0,COUNTA(F6:F37)&gt;0,COUNTA(F6:F37)-COUNTIF(F6:F37,"NB")-COUNTIF(F30:F31, "0")=COUNTA(F6:F37)),"AB","")</f>
        <v/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/>
      </c>
      <c r="J38" s="37" t="str">
        <f t="shared" ref="J38:AH38" si="1">IF(AND(J5&gt;0,COUNTA(J6:J37)&gt;0,COUNTA(J6:J37)-COUNTIF(J6:J37,"NB")-COUNTIF(J30:J31, "0")=COUNTA(J6:J37)),"AB","")</f>
        <v/>
      </c>
      <c r="K38" s="37" t="str">
        <f t="shared" si="1"/>
        <v/>
      </c>
      <c r="L38" s="37" t="str">
        <f t="shared" si="1"/>
        <v/>
      </c>
      <c r="M38" s="37" t="str">
        <f t="shared" si="1"/>
        <v/>
      </c>
      <c r="N38" s="37" t="str">
        <f t="shared" si="1"/>
        <v/>
      </c>
      <c r="O38" s="37" t="str">
        <f>IF(AND(O5&gt;0,COUNTA(O6:O37)&gt;0,COUNTA(O6:O37)-COUNTIF(O6:O37,"NB")-COUNTIF(O30:O31, "0")=COUNTA(O6:O37)),"AB","")</f>
        <v/>
      </c>
      <c r="P38" s="37" t="str">
        <f>IF(AND(P5&gt;0,COUNTA(P6:P37)&gt;0,COUNTA(P6:P37)-COUNTIF(P6:P37,"NB")-COUNTIF(P30:P31, "0")=COUNTA(P6:P37)),"AB","")</f>
        <v/>
      </c>
      <c r="Q38" s="37" t="str">
        <f t="shared" si="1"/>
        <v/>
      </c>
      <c r="R38" s="37" t="str">
        <f t="shared" si="1"/>
        <v/>
      </c>
      <c r="S38" s="37" t="str">
        <f t="shared" si="1"/>
        <v/>
      </c>
      <c r="T38" s="37" t="str">
        <f t="shared" si="1"/>
        <v/>
      </c>
      <c r="U38" s="37" t="str">
        <f t="shared" si="1"/>
        <v/>
      </c>
      <c r="V38" s="37" t="str">
        <f t="shared" si="1"/>
        <v/>
      </c>
      <c r="W38" s="37" t="str">
        <f t="shared" si="1"/>
        <v/>
      </c>
      <c r="X38" s="37" t="str">
        <f t="shared" si="1"/>
        <v/>
      </c>
      <c r="Y38" s="37" t="str">
        <f t="shared" si="1"/>
        <v/>
      </c>
      <c r="Z38" s="37" t="str">
        <f t="shared" si="1"/>
        <v/>
      </c>
      <c r="AA38" s="37" t="str">
        <f t="shared" si="1"/>
        <v/>
      </c>
      <c r="AB38" s="37" t="str">
        <f t="shared" si="1"/>
        <v/>
      </c>
      <c r="AC38" s="37" t="str">
        <f t="shared" si="1"/>
        <v/>
      </c>
      <c r="AD38" s="37" t="str">
        <f t="shared" si="1"/>
        <v/>
      </c>
      <c r="AE38" s="37" t="str">
        <f t="shared" si="1"/>
        <v/>
      </c>
      <c r="AF38" s="37" t="str">
        <f t="shared" si="1"/>
        <v/>
      </c>
      <c r="AG38" s="37" t="str">
        <f t="shared" si="1"/>
        <v/>
      </c>
      <c r="AH38" s="37" t="str">
        <f t="shared" si="1"/>
        <v/>
      </c>
      <c r="AI38" s="35"/>
    </row>
    <row r="39" spans="1:44" ht="15.75" hidden="1" customHeight="1" x14ac:dyDescent="0.25">
      <c r="D39" s="38" t="str">
        <f>IF(AND(D5:D5&gt;0,COUNTA(D6:D35),COUNTIF(D6:D35,"NB")+COUNTIF(D6:D35,0)=COUNTA(D6:D35)),"ANB","")</f>
        <v/>
      </c>
      <c r="E39" s="38" t="str">
        <f>IF(AND(E5:E5&gt;0,COUNTA(E6:E35),COUNTIF(E6:E35,"NB")+COUNTIF(E6:E35,0)=COUNTA(E6:E35)),"ANB","")</f>
        <v/>
      </c>
      <c r="F39" s="38" t="str">
        <f>IF(AND(F5:F5&gt;0,COUNTA(F6:F35),COUNTIF(F6:F35,"NB")+COUNTIF(F6:F35,0)=COUNTA(F6:F35)),"ANB","")</f>
        <v/>
      </c>
      <c r="G39" s="38" t="str">
        <f>IF(AND(G5:G5&gt;0,COUNTA(G6:G35),COUNTIF(G6:G35,"NB")+COUNTIF(G6:G35,0)=COUNTA(G6:G35)),"ANB","")</f>
        <v/>
      </c>
      <c r="H39" s="38" t="str">
        <f>IF(AND(H5:H5&gt;0,COUNTA(H6:H35),COUNTIF(H6:H35,"NB")+COUNTIF(H6:H35,0)=COUNTA(H6:H35)),"ANB","")</f>
        <v/>
      </c>
      <c r="I39" s="38" t="str">
        <f>IF(AND(I5:I5&gt;0,COUNTA(I6:I31),COUNTIF(I6:I31,"NB")+COUNTIF(I6:I31,0)=COUNTA(I6:I31)),"ANB","")</f>
        <v/>
      </c>
      <c r="J39" s="38" t="str">
        <f t="shared" ref="J39:AH39" si="2">IF(AND(J5:J5&gt;0,COUNTA(J6:J35),COUNTIF(J6:J35,"NB")+COUNTIF(J6:J35,0)=COUNTA(J6:J35)),"ANB","")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>IF(AND(P5:P5&gt;0,COUNTA(P6:P35),COUNTIF(P6:P35,"NB")+COUNTIF(P6:P35,0)=COUNTA(P6:P35)),"ANB","")</f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str">
        <f t="shared" si="2"/>
        <v/>
      </c>
    </row>
    <row r="40" spans="1:44" ht="15.75" customHeight="1" thickBot="1" x14ac:dyDescent="0.3">
      <c r="D40" s="39"/>
    </row>
    <row r="41" spans="1:44" ht="15.75" customHeight="1" thickBot="1" x14ac:dyDescent="0.3">
      <c r="A41" s="147" t="s">
        <v>39</v>
      </c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9"/>
    </row>
    <row r="42" spans="1:44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  <c r="AH49" s="59"/>
    </row>
    <row r="50" spans="1:35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COUNTA(D5:AH5)</f>
        <v>31</v>
      </c>
      <c r="AH50" s="59"/>
      <c r="AI50"/>
    </row>
    <row r="51" spans="1:35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COUNTIF(D38:AH38,"AB")</f>
        <v>0</v>
      </c>
      <c r="AH51" s="59"/>
      <c r="AI51"/>
    </row>
    <row r="52" spans="1:35" ht="15.75" customHeight="1" x14ac:dyDescent="0.25">
      <c r="A52" s="54" t="s">
        <v>82</v>
      </c>
      <c r="B52" t="s">
        <v>83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31</v>
      </c>
      <c r="AH52" s="59"/>
      <c r="AI52"/>
    </row>
    <row r="53" spans="1:35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41:AH41"/>
    <mergeCell ref="A30:C30"/>
    <mergeCell ref="A31:C31"/>
    <mergeCell ref="A32:C32"/>
    <mergeCell ref="A33:C33"/>
    <mergeCell ref="A36:C36"/>
    <mergeCell ref="A34:C34"/>
    <mergeCell ref="A35:C35"/>
    <mergeCell ref="A26:C26"/>
    <mergeCell ref="A27:C27"/>
    <mergeCell ref="A28:C28"/>
    <mergeCell ref="A29:C29"/>
    <mergeCell ref="A37:C37"/>
    <mergeCell ref="A21:C21"/>
    <mergeCell ref="A22:C22"/>
    <mergeCell ref="A23:C23"/>
    <mergeCell ref="A24:C24"/>
    <mergeCell ref="A25:C25"/>
    <mergeCell ref="A16:C16"/>
    <mergeCell ref="A17:C17"/>
    <mergeCell ref="A18:C18"/>
    <mergeCell ref="A19:C19"/>
    <mergeCell ref="A20:C20"/>
    <mergeCell ref="A11:C11"/>
    <mergeCell ref="A12:C12"/>
    <mergeCell ref="A13:C13"/>
    <mergeCell ref="A14:C14"/>
    <mergeCell ref="A15:C15"/>
    <mergeCell ref="A6:C6"/>
    <mergeCell ref="A7:C7"/>
    <mergeCell ref="A8:C8"/>
    <mergeCell ref="A9:C9"/>
    <mergeCell ref="A10:C10"/>
  </mergeCells>
  <conditionalFormatting sqref="K6:M7 K27:M35 AA27:AB35 AB23:AB26 K9:M21 M23:M26 L22:M22 T9:T35 O6:T7 O15:S35 AA9:AB22 AA6:AG7 AC9:AG35">
    <cfRule type="containsText" dxfId="1031" priority="70" operator="containsText" text="NB">
      <formula>NOT(ISERROR(SEARCH("NB",K6)))</formula>
    </cfRule>
    <cfRule type="containsText" dxfId="1030" priority="71" operator="containsText" text="M">
      <formula>NOT(ISERROR(SEARCH("M",K6)))</formula>
    </cfRule>
    <cfRule type="containsText" dxfId="1029" priority="72" operator="containsText" text="B">
      <formula>NOT(ISERROR(SEARCH("B",K6)))</formula>
    </cfRule>
  </conditionalFormatting>
  <conditionalFormatting sqref="D36:AH37 K6:M7 K27:M35 AA27:AB35 AB23:AB26 K9:M21 M23:M26 L22:M22 T9:T35 O6:T7 O15:S35 AA9:AB22 AA6:AG7 AC9:AG35">
    <cfRule type="cellIs" dxfId="1028" priority="69" operator="equal">
      <formula>0</formula>
    </cfRule>
  </conditionalFormatting>
  <conditionalFormatting sqref="D6:D35 E30:I35 E6:J21 E23:L24 K8:AG8">
    <cfRule type="cellIs" dxfId="1027" priority="65" operator="equal">
      <formula>0</formula>
    </cfRule>
    <cfRule type="cellIs" dxfId="1026" priority="66" operator="equal">
      <formula>"B"</formula>
    </cfRule>
    <cfRule type="cellIs" dxfId="1025" priority="67" operator="equal">
      <formula>"M"</formula>
    </cfRule>
    <cfRule type="cellIs" dxfId="1024" priority="68" operator="equal">
      <formula>"NB"</formula>
    </cfRule>
  </conditionalFormatting>
  <conditionalFormatting sqref="E25:I29 J25:L26 E22:K22">
    <cfRule type="cellIs" dxfId="1023" priority="61" operator="equal">
      <formula>0</formula>
    </cfRule>
    <cfRule type="cellIs" dxfId="1022" priority="62" operator="equal">
      <formula>"B"</formula>
    </cfRule>
    <cfRule type="cellIs" dxfId="1021" priority="63" operator="equal">
      <formula>"M"</formula>
    </cfRule>
    <cfRule type="cellIs" dxfId="1020" priority="64" operator="equal">
      <formula>"NB"</formula>
    </cfRule>
  </conditionalFormatting>
  <conditionalFormatting sqref="N6:N7 N9:N35 O9:O14">
    <cfRule type="containsText" dxfId="1019" priority="58" operator="containsText" text="NB">
      <formula>NOT(ISERROR(SEARCH("NB",N6)))</formula>
    </cfRule>
    <cfRule type="containsText" dxfId="1018" priority="59" operator="containsText" text="M">
      <formula>NOT(ISERROR(SEARCH("M",N6)))</formula>
    </cfRule>
    <cfRule type="containsText" dxfId="1017" priority="60" operator="containsText" text="B">
      <formula>NOT(ISERROR(SEARCH("B",N6)))</formula>
    </cfRule>
  </conditionalFormatting>
  <conditionalFormatting sqref="N6:N7 N9:N35 O9:O14">
    <cfRule type="cellIs" dxfId="1016" priority="57" operator="equal">
      <formula>0</formula>
    </cfRule>
  </conditionalFormatting>
  <conditionalFormatting sqref="P9:S14">
    <cfRule type="containsText" dxfId="1015" priority="50" operator="containsText" text="NB">
      <formula>NOT(ISERROR(SEARCH("NB",P9)))</formula>
    </cfRule>
    <cfRule type="containsText" dxfId="1014" priority="51" operator="containsText" text="M">
      <formula>NOT(ISERROR(SEARCH("M",P9)))</formula>
    </cfRule>
    <cfRule type="containsText" dxfId="1013" priority="52" operator="containsText" text="B">
      <formula>NOT(ISERROR(SEARCH("B",P9)))</formula>
    </cfRule>
  </conditionalFormatting>
  <conditionalFormatting sqref="P9:S14">
    <cfRule type="cellIs" dxfId="1012" priority="49" operator="equal">
      <formula>0</formula>
    </cfRule>
  </conditionalFormatting>
  <conditionalFormatting sqref="U9:X35 Y23:Z26 Y9:Y22 U6:Y7 Y27:Y35">
    <cfRule type="containsText" dxfId="1011" priority="42" operator="containsText" text="NB">
      <formula>NOT(ISERROR(SEARCH("NB",U6)))</formula>
    </cfRule>
    <cfRule type="containsText" dxfId="1010" priority="43" operator="containsText" text="M">
      <formula>NOT(ISERROR(SEARCH("M",U6)))</formula>
    </cfRule>
    <cfRule type="containsText" dxfId="1009" priority="44" operator="containsText" text="B">
      <formula>NOT(ISERROR(SEARCH("B",U6)))</formula>
    </cfRule>
  </conditionalFormatting>
  <conditionalFormatting sqref="U9:X35 Y23:Z26 Y9:Y22 U6:Y7 Y27:Y35">
    <cfRule type="cellIs" dxfId="1008" priority="41" operator="equal">
      <formula>0</formula>
    </cfRule>
  </conditionalFormatting>
  <conditionalFormatting sqref="AA23:AA26 Z6:Z7 Z9:Z22 Z27:Z35">
    <cfRule type="containsText" dxfId="1007" priority="26" operator="containsText" text="NB">
      <formula>NOT(ISERROR(SEARCH("NB",Z6)))</formula>
    </cfRule>
    <cfRule type="containsText" dxfId="1006" priority="27" operator="containsText" text="M">
      <formula>NOT(ISERROR(SEARCH("M",Z6)))</formula>
    </cfRule>
    <cfRule type="containsText" dxfId="1005" priority="28" operator="containsText" text="B">
      <formula>NOT(ISERROR(SEARCH("B",Z6)))</formula>
    </cfRule>
  </conditionalFormatting>
  <conditionalFormatting sqref="AA23:AA26 Z6:Z7 Z9:Z22 Z27:Z35">
    <cfRule type="cellIs" dxfId="1004" priority="25" operator="equal">
      <formula>0</formula>
    </cfRule>
  </conditionalFormatting>
  <conditionalFormatting sqref="J27:J35">
    <cfRule type="cellIs" dxfId="1003" priority="9" operator="equal">
      <formula>0</formula>
    </cfRule>
    <cfRule type="cellIs" dxfId="1002" priority="10" operator="equal">
      <formula>"B"</formula>
    </cfRule>
    <cfRule type="cellIs" dxfId="1001" priority="11" operator="equal">
      <formula>"M"</formula>
    </cfRule>
    <cfRule type="cellIs" dxfId="1000" priority="12" operator="equal">
      <formula>"NB"</formula>
    </cfRule>
  </conditionalFormatting>
  <conditionalFormatting sqref="AH6:AH7 AH9:AH35">
    <cfRule type="containsText" dxfId="999" priority="6" operator="containsText" text="NB">
      <formula>NOT(ISERROR(SEARCH("NB",AH6)))</formula>
    </cfRule>
    <cfRule type="containsText" dxfId="998" priority="7" operator="containsText" text="M">
      <formula>NOT(ISERROR(SEARCH("M",AH6)))</formula>
    </cfRule>
    <cfRule type="containsText" dxfId="997" priority="8" operator="containsText" text="B">
      <formula>NOT(ISERROR(SEARCH("B",AH6)))</formula>
    </cfRule>
  </conditionalFormatting>
  <conditionalFormatting sqref="AH6:AH7 AH9:AH35">
    <cfRule type="cellIs" dxfId="996" priority="5" operator="equal">
      <formula>0</formula>
    </cfRule>
  </conditionalFormatting>
  <conditionalFormatting sqref="AH8">
    <cfRule type="cellIs" dxfId="995" priority="1" operator="equal">
      <formula>0</formula>
    </cfRule>
    <cfRule type="cellIs" dxfId="994" priority="2" operator="equal">
      <formula>"B"</formula>
    </cfRule>
    <cfRule type="cellIs" dxfId="993" priority="3" operator="equal">
      <formula>"M"</formula>
    </cfRule>
    <cfRule type="cellIs" dxfId="992" priority="4" operator="equal">
      <formula>"NB"</formula>
    </cfRule>
  </conditionalFormatting>
  <pageMargins left="0.75" right="0.75" top="1" bottom="1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3" width="5.7109375" customWidth="1"/>
    <col min="34" max="34" width="8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91</v>
      </c>
    </row>
    <row r="3" spans="1:44" ht="23.25" x14ac:dyDescent="0.35">
      <c r="A3" s="1" t="s">
        <v>2</v>
      </c>
      <c r="P3" s="4" t="s">
        <v>109</v>
      </c>
    </row>
    <row r="4" spans="1:44" s="5" customFormat="1" ht="15.75" customHeight="1" thickBot="1" x14ac:dyDescent="0.3">
      <c r="C4" s="6"/>
      <c r="G4" s="5" t="s">
        <v>3</v>
      </c>
      <c r="H4" s="92" t="s">
        <v>3</v>
      </c>
      <c r="I4" s="5" t="s">
        <v>4</v>
      </c>
      <c r="L4" s="6"/>
      <c r="N4" s="5" t="s">
        <v>3</v>
      </c>
      <c r="O4" s="5" t="s">
        <v>3</v>
      </c>
      <c r="U4" s="5" t="s">
        <v>3</v>
      </c>
      <c r="V4" s="5" t="s">
        <v>3</v>
      </c>
      <c r="AB4" s="5" t="s">
        <v>3</v>
      </c>
      <c r="AC4" s="5" t="s">
        <v>3</v>
      </c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1" t="s">
        <v>6</v>
      </c>
      <c r="AI5"/>
      <c r="AJ5"/>
      <c r="AK5"/>
      <c r="AL5"/>
      <c r="AM5"/>
      <c r="AN5"/>
      <c r="AO5"/>
      <c r="AP5"/>
      <c r="AQ5"/>
    </row>
    <row r="6" spans="1:44" ht="15.75" customHeight="1" x14ac:dyDescent="0.25">
      <c r="A6" s="156" t="s">
        <v>7</v>
      </c>
      <c r="B6" s="157"/>
      <c r="C6" s="158"/>
      <c r="D6" s="72" t="s">
        <v>12</v>
      </c>
      <c r="E6" s="72" t="s">
        <v>12</v>
      </c>
      <c r="F6" s="72" t="s">
        <v>12</v>
      </c>
      <c r="G6" s="72" t="s">
        <v>12</v>
      </c>
      <c r="H6" s="72" t="s">
        <v>12</v>
      </c>
      <c r="I6" s="72" t="s">
        <v>12</v>
      </c>
      <c r="J6" s="72" t="s">
        <v>12</v>
      </c>
      <c r="K6" s="72" t="s">
        <v>12</v>
      </c>
      <c r="L6" s="72" t="s">
        <v>12</v>
      </c>
      <c r="M6" s="72" t="s">
        <v>12</v>
      </c>
      <c r="N6" s="72" t="s">
        <v>12</v>
      </c>
      <c r="O6" s="72" t="s">
        <v>12</v>
      </c>
      <c r="P6" s="72" t="s">
        <v>12</v>
      </c>
      <c r="Q6" s="72" t="s">
        <v>12</v>
      </c>
      <c r="R6" s="72" t="s">
        <v>12</v>
      </c>
      <c r="S6" s="72" t="s">
        <v>12</v>
      </c>
      <c r="T6" s="72" t="s">
        <v>12</v>
      </c>
      <c r="U6" s="72" t="s">
        <v>12</v>
      </c>
      <c r="V6" s="72" t="s">
        <v>12</v>
      </c>
      <c r="W6" s="72" t="s">
        <v>12</v>
      </c>
      <c r="X6" s="72" t="s">
        <v>12</v>
      </c>
      <c r="Y6" s="72" t="s">
        <v>12</v>
      </c>
      <c r="Z6" s="72" t="s">
        <v>12</v>
      </c>
      <c r="AA6" s="72" t="s">
        <v>12</v>
      </c>
      <c r="AB6" s="72" t="s">
        <v>22</v>
      </c>
      <c r="AC6" s="72" t="s">
        <v>22</v>
      </c>
      <c r="AD6" s="72" t="s">
        <v>22</v>
      </c>
      <c r="AE6" s="72" t="s">
        <v>11</v>
      </c>
      <c r="AF6" s="72" t="s">
        <v>22</v>
      </c>
      <c r="AG6" s="72" t="s">
        <v>12</v>
      </c>
      <c r="AH6" s="13">
        <f t="shared" ref="AH6:AH35" si="0">IF(COUNTA(D6:AG6)&gt;0,(COUNTA(D6:AG6)-COUNTIF(D6:AG6,"NB")-COUNTIF(D6:AG6,"DN")-COUNTIF(D6:AG6,"An")-COUNTIF(D6:AG6,"NB^")-COUNTIF(D6:AG6,0))/COUNTA(D6:AG6),"")</f>
        <v>0.16666666666666666</v>
      </c>
      <c r="AI6"/>
    </row>
    <row r="7" spans="1:44" ht="15.75" customHeight="1" x14ac:dyDescent="0.25">
      <c r="A7" s="180" t="s">
        <v>10</v>
      </c>
      <c r="B7" s="181"/>
      <c r="C7" s="182"/>
      <c r="D7" s="14" t="s">
        <v>12</v>
      </c>
      <c r="E7" s="14" t="s">
        <v>12</v>
      </c>
      <c r="F7" s="14" t="s">
        <v>12</v>
      </c>
      <c r="G7" s="14" t="s">
        <v>12</v>
      </c>
      <c r="H7" s="14" t="s">
        <v>12</v>
      </c>
      <c r="I7" s="14" t="s">
        <v>12</v>
      </c>
      <c r="J7" s="14" t="s">
        <v>12</v>
      </c>
      <c r="K7" s="14" t="s">
        <v>12</v>
      </c>
      <c r="L7" s="14" t="s">
        <v>12</v>
      </c>
      <c r="M7" s="14" t="s">
        <v>12</v>
      </c>
      <c r="N7" s="14" t="s">
        <v>12</v>
      </c>
      <c r="O7" s="14" t="s">
        <v>12</v>
      </c>
      <c r="P7" s="73" t="s">
        <v>12</v>
      </c>
      <c r="Q7" s="73" t="s">
        <v>12</v>
      </c>
      <c r="R7" s="14" t="s">
        <v>12</v>
      </c>
      <c r="S7" s="14" t="s">
        <v>12</v>
      </c>
      <c r="T7" s="14" t="s">
        <v>12</v>
      </c>
      <c r="U7" s="14" t="s">
        <v>12</v>
      </c>
      <c r="V7" s="14" t="s">
        <v>12</v>
      </c>
      <c r="W7" s="14" t="s">
        <v>12</v>
      </c>
      <c r="X7" s="14" t="s">
        <v>12</v>
      </c>
      <c r="Y7" s="14" t="s">
        <v>12</v>
      </c>
      <c r="Z7" s="14" t="s">
        <v>12</v>
      </c>
      <c r="AA7" s="14" t="s">
        <v>22</v>
      </c>
      <c r="AB7" s="14" t="s">
        <v>22</v>
      </c>
      <c r="AC7" s="14" t="s">
        <v>22</v>
      </c>
      <c r="AD7" s="14" t="s">
        <v>22</v>
      </c>
      <c r="AE7" s="14" t="s">
        <v>11</v>
      </c>
      <c r="AF7" s="14" t="s">
        <v>22</v>
      </c>
      <c r="AG7" s="14" t="s">
        <v>12</v>
      </c>
      <c r="AH7" s="17">
        <f t="shared" si="0"/>
        <v>0.2</v>
      </c>
      <c r="AI7"/>
    </row>
    <row r="8" spans="1:44" ht="15.75" customHeight="1" x14ac:dyDescent="0.25">
      <c r="A8" s="162" t="s">
        <v>94</v>
      </c>
      <c r="B8" s="163"/>
      <c r="C8" s="164"/>
      <c r="D8" s="18" t="s">
        <v>12</v>
      </c>
      <c r="E8" s="18" t="s">
        <v>12</v>
      </c>
      <c r="F8" s="18" t="s">
        <v>12</v>
      </c>
      <c r="G8" s="18" t="s">
        <v>12</v>
      </c>
      <c r="H8" s="18" t="s">
        <v>12</v>
      </c>
      <c r="I8" s="18" t="s">
        <v>12</v>
      </c>
      <c r="J8" s="18" t="s">
        <v>12</v>
      </c>
      <c r="K8" s="18" t="s">
        <v>12</v>
      </c>
      <c r="L8" s="18" t="s">
        <v>12</v>
      </c>
      <c r="M8" s="18" t="s">
        <v>12</v>
      </c>
      <c r="N8" s="18" t="s">
        <v>12</v>
      </c>
      <c r="O8" s="18" t="s">
        <v>12</v>
      </c>
      <c r="P8" s="18" t="s">
        <v>12</v>
      </c>
      <c r="Q8" s="18" t="s">
        <v>12</v>
      </c>
      <c r="R8" s="18" t="s">
        <v>12</v>
      </c>
      <c r="S8" s="18" t="s">
        <v>12</v>
      </c>
      <c r="T8" s="18" t="s">
        <v>12</v>
      </c>
      <c r="U8" s="18" t="s">
        <v>12</v>
      </c>
      <c r="V8" s="18" t="s">
        <v>12</v>
      </c>
      <c r="W8" s="18" t="s">
        <v>12</v>
      </c>
      <c r="X8" s="18" t="s">
        <v>12</v>
      </c>
      <c r="Y8" s="18" t="s">
        <v>12</v>
      </c>
      <c r="Z8" s="18" t="s">
        <v>12</v>
      </c>
      <c r="AA8" s="18" t="s">
        <v>12</v>
      </c>
      <c r="AB8" s="18" t="s">
        <v>12</v>
      </c>
      <c r="AC8" s="18" t="s">
        <v>12</v>
      </c>
      <c r="AD8" s="18" t="s">
        <v>12</v>
      </c>
      <c r="AE8" s="18" t="s">
        <v>12</v>
      </c>
      <c r="AF8" s="18" t="s">
        <v>12</v>
      </c>
      <c r="AG8" s="18" t="s">
        <v>12</v>
      </c>
      <c r="AH8" s="19">
        <f t="shared" si="0"/>
        <v>0</v>
      </c>
      <c r="AI8"/>
    </row>
    <row r="9" spans="1:44" ht="15.75" customHeight="1" x14ac:dyDescent="0.25">
      <c r="A9" s="174" t="s">
        <v>13</v>
      </c>
      <c r="B9" s="175"/>
      <c r="C9" s="176"/>
      <c r="D9" s="79" t="s">
        <v>12</v>
      </c>
      <c r="E9" s="79" t="s">
        <v>12</v>
      </c>
      <c r="F9" s="79" t="s">
        <v>12</v>
      </c>
      <c r="G9" s="79" t="s">
        <v>12</v>
      </c>
      <c r="H9" s="79" t="s">
        <v>12</v>
      </c>
      <c r="I9" s="79" t="s">
        <v>12</v>
      </c>
      <c r="J9" s="79" t="s">
        <v>12</v>
      </c>
      <c r="K9" s="79" t="s">
        <v>12</v>
      </c>
      <c r="L9" s="79" t="s">
        <v>12</v>
      </c>
      <c r="M9" s="79" t="s">
        <v>12</v>
      </c>
      <c r="N9" s="79" t="s">
        <v>12</v>
      </c>
      <c r="O9" s="79" t="s">
        <v>12</v>
      </c>
      <c r="P9" s="20" t="s">
        <v>12</v>
      </c>
      <c r="Q9" s="20" t="s">
        <v>12</v>
      </c>
      <c r="R9" s="20" t="s">
        <v>12</v>
      </c>
      <c r="S9" s="20" t="s">
        <v>12</v>
      </c>
      <c r="T9" s="20" t="s">
        <v>12</v>
      </c>
      <c r="U9" s="20" t="s">
        <v>12</v>
      </c>
      <c r="V9" s="20" t="s">
        <v>12</v>
      </c>
      <c r="W9" s="20" t="s">
        <v>12</v>
      </c>
      <c r="X9" s="20" t="s">
        <v>12</v>
      </c>
      <c r="Y9" s="20" t="s">
        <v>12</v>
      </c>
      <c r="Z9" s="20" t="s">
        <v>12</v>
      </c>
      <c r="AA9" s="20" t="s">
        <v>12</v>
      </c>
      <c r="AB9" s="20" t="s">
        <v>12</v>
      </c>
      <c r="AC9" s="20" t="s">
        <v>12</v>
      </c>
      <c r="AD9" s="79" t="s">
        <v>12</v>
      </c>
      <c r="AE9" s="79" t="s">
        <v>12</v>
      </c>
      <c r="AF9" s="79" t="s">
        <v>12</v>
      </c>
      <c r="AG9" s="79" t="s">
        <v>12</v>
      </c>
      <c r="AH9" s="13">
        <f t="shared" si="0"/>
        <v>0</v>
      </c>
      <c r="AI9"/>
    </row>
    <row r="10" spans="1:44" ht="15.75" customHeight="1" x14ac:dyDescent="0.25">
      <c r="A10" s="177" t="s">
        <v>14</v>
      </c>
      <c r="B10" s="178"/>
      <c r="C10" s="179"/>
      <c r="D10" s="80" t="s">
        <v>12</v>
      </c>
      <c r="E10" s="80" t="s">
        <v>12</v>
      </c>
      <c r="F10" s="80" t="s">
        <v>12</v>
      </c>
      <c r="G10" s="80" t="s">
        <v>12</v>
      </c>
      <c r="H10" s="80" t="s">
        <v>12</v>
      </c>
      <c r="I10" s="80" t="s">
        <v>12</v>
      </c>
      <c r="J10" s="80" t="s">
        <v>12</v>
      </c>
      <c r="K10" s="80" t="s">
        <v>12</v>
      </c>
      <c r="L10" s="80" t="s">
        <v>12</v>
      </c>
      <c r="M10" s="80" t="s">
        <v>12</v>
      </c>
      <c r="N10" s="80" t="s">
        <v>12</v>
      </c>
      <c r="O10" s="80" t="s">
        <v>12</v>
      </c>
      <c r="P10" s="16" t="s">
        <v>12</v>
      </c>
      <c r="Q10" s="16" t="s">
        <v>12</v>
      </c>
      <c r="R10" s="16" t="s">
        <v>12</v>
      </c>
      <c r="S10" s="16" t="s">
        <v>12</v>
      </c>
      <c r="T10" s="16" t="s">
        <v>12</v>
      </c>
      <c r="U10" s="16" t="s">
        <v>12</v>
      </c>
      <c r="V10" s="16" t="s">
        <v>12</v>
      </c>
      <c r="W10" s="16" t="s">
        <v>12</v>
      </c>
      <c r="X10" s="16" t="s">
        <v>12</v>
      </c>
      <c r="Y10" s="16" t="s">
        <v>12</v>
      </c>
      <c r="Z10" s="16" t="s">
        <v>12</v>
      </c>
      <c r="AA10" s="16" t="s">
        <v>12</v>
      </c>
      <c r="AB10" s="16" t="s">
        <v>12</v>
      </c>
      <c r="AC10" s="16" t="s">
        <v>12</v>
      </c>
      <c r="AD10" s="80" t="s">
        <v>12</v>
      </c>
      <c r="AE10" s="80" t="s">
        <v>12</v>
      </c>
      <c r="AF10" s="80" t="s">
        <v>12</v>
      </c>
      <c r="AG10" s="80" t="s">
        <v>12</v>
      </c>
      <c r="AH10" s="21">
        <f t="shared" si="0"/>
        <v>0</v>
      </c>
      <c r="AI10"/>
    </row>
    <row r="11" spans="1:44" ht="15.75" customHeight="1" x14ac:dyDescent="0.25">
      <c r="A11" s="177" t="s">
        <v>15</v>
      </c>
      <c r="B11" s="178"/>
      <c r="C11" s="179"/>
      <c r="D11" s="80" t="s">
        <v>12</v>
      </c>
      <c r="E11" s="80" t="s">
        <v>12</v>
      </c>
      <c r="F11" s="80" t="s">
        <v>12</v>
      </c>
      <c r="G11" s="80" t="s">
        <v>12</v>
      </c>
      <c r="H11" s="80" t="s">
        <v>12</v>
      </c>
      <c r="I11" s="80" t="s">
        <v>12</v>
      </c>
      <c r="J11" s="80" t="s">
        <v>12</v>
      </c>
      <c r="K11" s="80" t="s">
        <v>12</v>
      </c>
      <c r="L11" s="80" t="s">
        <v>12</v>
      </c>
      <c r="M11" s="80" t="s">
        <v>12</v>
      </c>
      <c r="N11" s="80" t="s">
        <v>12</v>
      </c>
      <c r="O11" s="80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80" t="s">
        <v>12</v>
      </c>
      <c r="AE11" s="80" t="s">
        <v>12</v>
      </c>
      <c r="AF11" s="80" t="s">
        <v>12</v>
      </c>
      <c r="AG11" s="80" t="s">
        <v>12</v>
      </c>
      <c r="AH11" s="21">
        <f t="shared" si="0"/>
        <v>0</v>
      </c>
      <c r="AI11"/>
    </row>
    <row r="12" spans="1:44" ht="15.75" customHeight="1" x14ac:dyDescent="0.25">
      <c r="A12" s="177" t="s">
        <v>16</v>
      </c>
      <c r="B12" s="178"/>
      <c r="C12" s="179"/>
      <c r="D12" s="80" t="s">
        <v>12</v>
      </c>
      <c r="E12" s="80" t="s">
        <v>12</v>
      </c>
      <c r="F12" s="80" t="s">
        <v>12</v>
      </c>
      <c r="G12" s="80" t="s">
        <v>12</v>
      </c>
      <c r="H12" s="80" t="s">
        <v>12</v>
      </c>
      <c r="I12" s="80" t="s">
        <v>12</v>
      </c>
      <c r="J12" s="80" t="s">
        <v>12</v>
      </c>
      <c r="K12" s="80" t="s">
        <v>12</v>
      </c>
      <c r="L12" s="80" t="s">
        <v>12</v>
      </c>
      <c r="M12" s="80" t="s">
        <v>12</v>
      </c>
      <c r="N12" s="80" t="s">
        <v>12</v>
      </c>
      <c r="O12" s="80" t="s">
        <v>12</v>
      </c>
      <c r="P12" s="16" t="s">
        <v>12</v>
      </c>
      <c r="Q12" s="16" t="s">
        <v>12</v>
      </c>
      <c r="R12" s="16" t="s">
        <v>12</v>
      </c>
      <c r="S12" s="16" t="s">
        <v>12</v>
      </c>
      <c r="T12" s="16" t="s">
        <v>12</v>
      </c>
      <c r="U12" s="16" t="s">
        <v>12</v>
      </c>
      <c r="V12" s="16" t="s">
        <v>12</v>
      </c>
      <c r="W12" s="16" t="s">
        <v>12</v>
      </c>
      <c r="X12" s="16" t="s">
        <v>12</v>
      </c>
      <c r="Y12" s="16" t="s">
        <v>12</v>
      </c>
      <c r="Z12" s="16" t="s">
        <v>12</v>
      </c>
      <c r="AA12" s="16" t="s">
        <v>12</v>
      </c>
      <c r="AB12" s="16" t="s">
        <v>12</v>
      </c>
      <c r="AC12" s="16" t="s">
        <v>12</v>
      </c>
      <c r="AD12" s="80" t="s">
        <v>12</v>
      </c>
      <c r="AE12" s="80" t="s">
        <v>12</v>
      </c>
      <c r="AF12" s="80" t="s">
        <v>12</v>
      </c>
      <c r="AG12" s="80" t="s">
        <v>12</v>
      </c>
      <c r="AH12" s="21">
        <f t="shared" si="0"/>
        <v>0</v>
      </c>
      <c r="AI12"/>
    </row>
    <row r="13" spans="1:44" ht="15.75" customHeight="1" x14ac:dyDescent="0.25">
      <c r="A13" s="177" t="s">
        <v>17</v>
      </c>
      <c r="B13" s="178"/>
      <c r="C13" s="179"/>
      <c r="D13" s="80" t="s">
        <v>12</v>
      </c>
      <c r="E13" s="80" t="s">
        <v>12</v>
      </c>
      <c r="F13" s="80" t="s">
        <v>12</v>
      </c>
      <c r="G13" s="80" t="s">
        <v>12</v>
      </c>
      <c r="H13" s="80" t="s">
        <v>12</v>
      </c>
      <c r="I13" s="80" t="s">
        <v>12</v>
      </c>
      <c r="J13" s="80" t="s">
        <v>12</v>
      </c>
      <c r="K13" s="80" t="s">
        <v>12</v>
      </c>
      <c r="L13" s="80" t="s">
        <v>12</v>
      </c>
      <c r="M13" s="80" t="s">
        <v>12</v>
      </c>
      <c r="N13" s="80" t="s">
        <v>12</v>
      </c>
      <c r="O13" s="80" t="s">
        <v>12</v>
      </c>
      <c r="P13" s="16" t="s">
        <v>12</v>
      </c>
      <c r="Q13" s="16" t="s">
        <v>12</v>
      </c>
      <c r="R13" s="16" t="s">
        <v>12</v>
      </c>
      <c r="S13" s="16" t="s">
        <v>12</v>
      </c>
      <c r="T13" s="16" t="s">
        <v>12</v>
      </c>
      <c r="U13" s="16" t="s">
        <v>12</v>
      </c>
      <c r="V13" s="16" t="s">
        <v>12</v>
      </c>
      <c r="W13" s="16" t="s">
        <v>12</v>
      </c>
      <c r="X13" s="16" t="s">
        <v>12</v>
      </c>
      <c r="Y13" s="16" t="s">
        <v>12</v>
      </c>
      <c r="Z13" s="16" t="s">
        <v>12</v>
      </c>
      <c r="AA13" s="16" t="s">
        <v>12</v>
      </c>
      <c r="AB13" s="16" t="s">
        <v>12</v>
      </c>
      <c r="AC13" s="16" t="s">
        <v>12</v>
      </c>
      <c r="AD13" s="80" t="s">
        <v>12</v>
      </c>
      <c r="AE13" s="80" t="s">
        <v>12</v>
      </c>
      <c r="AF13" s="80" t="s">
        <v>12</v>
      </c>
      <c r="AG13" s="80" t="s">
        <v>12</v>
      </c>
      <c r="AH13" s="21">
        <f t="shared" si="0"/>
        <v>0</v>
      </c>
      <c r="AI13"/>
    </row>
    <row r="14" spans="1:44" ht="15.75" customHeight="1" x14ac:dyDescent="0.25">
      <c r="A14" s="180" t="s">
        <v>18</v>
      </c>
      <c r="B14" s="181"/>
      <c r="C14" s="182"/>
      <c r="D14" s="73" t="s">
        <v>12</v>
      </c>
      <c r="E14" s="73" t="s">
        <v>12</v>
      </c>
      <c r="F14" s="73" t="s">
        <v>12</v>
      </c>
      <c r="G14" s="73" t="s">
        <v>12</v>
      </c>
      <c r="H14" s="73" t="s">
        <v>12</v>
      </c>
      <c r="I14" s="73" t="s">
        <v>12</v>
      </c>
      <c r="J14" s="73" t="s">
        <v>12</v>
      </c>
      <c r="K14" s="73" t="s">
        <v>12</v>
      </c>
      <c r="L14" s="73" t="s">
        <v>12</v>
      </c>
      <c r="M14" s="73" t="s">
        <v>12</v>
      </c>
      <c r="N14" s="73" t="s">
        <v>12</v>
      </c>
      <c r="O14" s="73" t="s">
        <v>12</v>
      </c>
      <c r="P14" s="73" t="s">
        <v>12</v>
      </c>
      <c r="Q14" s="73" t="s">
        <v>12</v>
      </c>
      <c r="R14" s="73" t="s">
        <v>12</v>
      </c>
      <c r="S14" s="73" t="s">
        <v>12</v>
      </c>
      <c r="T14" s="73" t="s">
        <v>12</v>
      </c>
      <c r="U14" s="73" t="s">
        <v>12</v>
      </c>
      <c r="V14" s="73" t="s">
        <v>12</v>
      </c>
      <c r="W14" s="73" t="s">
        <v>12</v>
      </c>
      <c r="X14" s="73" t="s">
        <v>12</v>
      </c>
      <c r="Y14" s="73" t="s">
        <v>12</v>
      </c>
      <c r="Z14" s="73" t="s">
        <v>12</v>
      </c>
      <c r="AA14" s="73" t="s">
        <v>12</v>
      </c>
      <c r="AB14" s="73" t="s">
        <v>12</v>
      </c>
      <c r="AC14" s="73" t="s">
        <v>12</v>
      </c>
      <c r="AD14" s="73" t="s">
        <v>12</v>
      </c>
      <c r="AE14" s="73" t="s">
        <v>12</v>
      </c>
      <c r="AF14" s="73" t="s">
        <v>12</v>
      </c>
      <c r="AG14" s="73" t="s">
        <v>12</v>
      </c>
      <c r="AH14" s="17">
        <f t="shared" si="0"/>
        <v>0</v>
      </c>
      <c r="AI14"/>
    </row>
    <row r="15" spans="1:44" ht="15.75" customHeight="1" x14ac:dyDescent="0.25">
      <c r="A15" s="174" t="s">
        <v>19</v>
      </c>
      <c r="B15" s="175"/>
      <c r="C15" s="176"/>
      <c r="D15" s="20" t="s">
        <v>11</v>
      </c>
      <c r="E15" s="20" t="s">
        <v>11</v>
      </c>
      <c r="F15" s="20" t="s">
        <v>11</v>
      </c>
      <c r="G15" s="20" t="s">
        <v>12</v>
      </c>
      <c r="H15" s="20" t="s">
        <v>12</v>
      </c>
      <c r="I15" s="20" t="s">
        <v>12</v>
      </c>
      <c r="J15" s="20" t="s">
        <v>12</v>
      </c>
      <c r="K15" s="20" t="s">
        <v>12</v>
      </c>
      <c r="L15" s="20" t="s">
        <v>12</v>
      </c>
      <c r="M15" s="20" t="s">
        <v>12</v>
      </c>
      <c r="N15" s="20" t="s">
        <v>12</v>
      </c>
      <c r="O15" s="20" t="s">
        <v>12</v>
      </c>
      <c r="P15" s="20" t="s">
        <v>12</v>
      </c>
      <c r="Q15" s="20" t="s">
        <v>12</v>
      </c>
      <c r="R15" s="20" t="s">
        <v>12</v>
      </c>
      <c r="S15" s="20" t="s">
        <v>12</v>
      </c>
      <c r="T15" s="20" t="s">
        <v>12</v>
      </c>
      <c r="U15" s="20" t="s">
        <v>12</v>
      </c>
      <c r="V15" s="20" t="s">
        <v>12</v>
      </c>
      <c r="W15" s="20" t="s">
        <v>12</v>
      </c>
      <c r="X15" s="20" t="s">
        <v>12</v>
      </c>
      <c r="Y15" s="20" t="s">
        <v>12</v>
      </c>
      <c r="Z15" s="20" t="s">
        <v>12</v>
      </c>
      <c r="AA15" s="20" t="s">
        <v>12</v>
      </c>
      <c r="AB15" s="20" t="s">
        <v>12</v>
      </c>
      <c r="AC15" s="20" t="s">
        <v>12</v>
      </c>
      <c r="AD15" s="20" t="s">
        <v>12</v>
      </c>
      <c r="AE15" s="20" t="s">
        <v>12</v>
      </c>
      <c r="AF15" s="20" t="s">
        <v>12</v>
      </c>
      <c r="AG15" s="20" t="s">
        <v>12</v>
      </c>
      <c r="AH15" s="13">
        <f t="shared" si="0"/>
        <v>0.1</v>
      </c>
      <c r="AI15"/>
    </row>
    <row r="16" spans="1:44" ht="15.75" customHeight="1" x14ac:dyDescent="0.25">
      <c r="A16" s="177" t="s">
        <v>20</v>
      </c>
      <c r="B16" s="178"/>
      <c r="C16" s="179"/>
      <c r="D16" s="16" t="s">
        <v>11</v>
      </c>
      <c r="E16" s="16" t="s">
        <v>11</v>
      </c>
      <c r="F16" s="16" t="s">
        <v>11</v>
      </c>
      <c r="G16" s="16" t="s">
        <v>12</v>
      </c>
      <c r="H16" s="16" t="s">
        <v>12</v>
      </c>
      <c r="I16" s="16" t="s">
        <v>12</v>
      </c>
      <c r="J16" s="16" t="s">
        <v>12</v>
      </c>
      <c r="K16" s="16" t="s">
        <v>12</v>
      </c>
      <c r="L16" s="16" t="s">
        <v>12</v>
      </c>
      <c r="M16" s="16" t="s">
        <v>12</v>
      </c>
      <c r="N16" s="16" t="s">
        <v>12</v>
      </c>
      <c r="O16" s="16" t="s">
        <v>12</v>
      </c>
      <c r="P16" s="16" t="s">
        <v>12</v>
      </c>
      <c r="Q16" s="16" t="s">
        <v>12</v>
      </c>
      <c r="R16" s="16" t="s">
        <v>12</v>
      </c>
      <c r="S16" s="16" t="s">
        <v>12</v>
      </c>
      <c r="T16" s="16" t="s">
        <v>12</v>
      </c>
      <c r="U16" s="16" t="s">
        <v>12</v>
      </c>
      <c r="V16" s="16" t="s">
        <v>12</v>
      </c>
      <c r="W16" s="16" t="s">
        <v>12</v>
      </c>
      <c r="X16" s="16" t="s">
        <v>12</v>
      </c>
      <c r="Y16" s="16" t="s">
        <v>12</v>
      </c>
      <c r="Z16" s="16" t="s">
        <v>12</v>
      </c>
      <c r="AA16" s="16" t="s">
        <v>12</v>
      </c>
      <c r="AB16" s="16" t="s">
        <v>12</v>
      </c>
      <c r="AC16" s="16" t="s">
        <v>12</v>
      </c>
      <c r="AD16" s="16" t="s">
        <v>12</v>
      </c>
      <c r="AE16" s="16" t="s">
        <v>12</v>
      </c>
      <c r="AF16" s="16" t="s">
        <v>12</v>
      </c>
      <c r="AG16" s="16" t="s">
        <v>12</v>
      </c>
      <c r="AH16" s="21">
        <f t="shared" si="0"/>
        <v>0.1</v>
      </c>
      <c r="AI16"/>
    </row>
    <row r="17" spans="1:35" ht="15.75" customHeight="1" x14ac:dyDescent="0.25">
      <c r="A17" s="180" t="s">
        <v>92</v>
      </c>
      <c r="B17" s="181"/>
      <c r="C17" s="182"/>
      <c r="D17" s="16" t="s">
        <v>11</v>
      </c>
      <c r="E17" s="16" t="s">
        <v>11</v>
      </c>
      <c r="F17" s="16" t="s">
        <v>11</v>
      </c>
      <c r="G17" s="16" t="s">
        <v>12</v>
      </c>
      <c r="H17" s="16" t="s">
        <v>12</v>
      </c>
      <c r="I17" s="16" t="s">
        <v>12</v>
      </c>
      <c r="J17" s="16" t="s">
        <v>12</v>
      </c>
      <c r="K17" s="16" t="s">
        <v>12</v>
      </c>
      <c r="L17" s="16" t="s">
        <v>12</v>
      </c>
      <c r="M17" s="16" t="s">
        <v>12</v>
      </c>
      <c r="N17" s="16" t="s">
        <v>12</v>
      </c>
      <c r="O17" s="16" t="s">
        <v>12</v>
      </c>
      <c r="P17" s="16" t="s">
        <v>12</v>
      </c>
      <c r="Q17" s="16" t="s">
        <v>12</v>
      </c>
      <c r="R17" s="16" t="s">
        <v>12</v>
      </c>
      <c r="S17" s="16" t="s">
        <v>12</v>
      </c>
      <c r="T17" s="16" t="s">
        <v>12</v>
      </c>
      <c r="U17" s="16" t="s">
        <v>12</v>
      </c>
      <c r="V17" s="16" t="s">
        <v>12</v>
      </c>
      <c r="W17" s="16" t="s">
        <v>12</v>
      </c>
      <c r="X17" s="16" t="s">
        <v>12</v>
      </c>
      <c r="Y17" s="16" t="s">
        <v>12</v>
      </c>
      <c r="Z17" s="16" t="s">
        <v>12</v>
      </c>
      <c r="AA17" s="16" t="s">
        <v>12</v>
      </c>
      <c r="AB17" s="16" t="s">
        <v>12</v>
      </c>
      <c r="AC17" s="16" t="s">
        <v>12</v>
      </c>
      <c r="AD17" s="16" t="s">
        <v>12</v>
      </c>
      <c r="AE17" s="16" t="s">
        <v>12</v>
      </c>
      <c r="AF17" s="16" t="s">
        <v>12</v>
      </c>
      <c r="AG17" s="16" t="s">
        <v>12</v>
      </c>
      <c r="AH17" s="17">
        <f t="shared" si="0"/>
        <v>0.1</v>
      </c>
      <c r="AI17"/>
    </row>
    <row r="18" spans="1:35" ht="15.75" customHeight="1" x14ac:dyDescent="0.25">
      <c r="A18" s="174" t="s">
        <v>21</v>
      </c>
      <c r="B18" s="175"/>
      <c r="C18" s="176"/>
      <c r="D18" s="22" t="s">
        <v>11</v>
      </c>
      <c r="E18" s="22" t="s">
        <v>11</v>
      </c>
      <c r="F18" s="22" t="s">
        <v>11</v>
      </c>
      <c r="G18" s="22" t="s">
        <v>11</v>
      </c>
      <c r="H18" s="22" t="s">
        <v>12</v>
      </c>
      <c r="I18" s="22" t="s">
        <v>12</v>
      </c>
      <c r="J18" s="22" t="s">
        <v>12</v>
      </c>
      <c r="K18" s="22" t="s">
        <v>12</v>
      </c>
      <c r="L18" s="22" t="s">
        <v>12</v>
      </c>
      <c r="M18" s="22" t="s">
        <v>11</v>
      </c>
      <c r="N18" s="22" t="s">
        <v>11</v>
      </c>
      <c r="O18" s="22" t="s">
        <v>11</v>
      </c>
      <c r="P18" s="20" t="s">
        <v>22</v>
      </c>
      <c r="Q18" s="20" t="s">
        <v>22</v>
      </c>
      <c r="R18" s="22" t="s">
        <v>22</v>
      </c>
      <c r="S18" s="22" t="s">
        <v>22</v>
      </c>
      <c r="T18" s="22" t="s">
        <v>11</v>
      </c>
      <c r="U18" s="22" t="s">
        <v>11</v>
      </c>
      <c r="V18" s="22" t="s">
        <v>11</v>
      </c>
      <c r="W18" s="22" t="s">
        <v>11</v>
      </c>
      <c r="X18" s="22" t="s">
        <v>22</v>
      </c>
      <c r="Y18" s="22" t="s">
        <v>22</v>
      </c>
      <c r="Z18" s="22" t="s">
        <v>22</v>
      </c>
      <c r="AA18" s="22" t="s">
        <v>22</v>
      </c>
      <c r="AB18" s="22" t="s">
        <v>22</v>
      </c>
      <c r="AC18" s="22" t="s">
        <v>22</v>
      </c>
      <c r="AD18" s="22" t="s">
        <v>22</v>
      </c>
      <c r="AE18" s="22" t="s">
        <v>11</v>
      </c>
      <c r="AF18" s="22" t="s">
        <v>22</v>
      </c>
      <c r="AG18" s="22" t="s">
        <v>22</v>
      </c>
      <c r="AH18" s="13">
        <f t="shared" si="0"/>
        <v>0.83333333333333337</v>
      </c>
      <c r="AI18"/>
    </row>
    <row r="19" spans="1:35" ht="15.75" customHeight="1" x14ac:dyDescent="0.25">
      <c r="A19" s="177" t="s">
        <v>23</v>
      </c>
      <c r="B19" s="178"/>
      <c r="C19" s="179"/>
      <c r="D19" s="23" t="s">
        <v>11</v>
      </c>
      <c r="E19" s="23" t="s">
        <v>11</v>
      </c>
      <c r="F19" s="23" t="s">
        <v>11</v>
      </c>
      <c r="G19" s="23" t="s">
        <v>22</v>
      </c>
      <c r="H19" s="23" t="s">
        <v>12</v>
      </c>
      <c r="I19" s="23" t="s">
        <v>12</v>
      </c>
      <c r="J19" s="23" t="s">
        <v>12</v>
      </c>
      <c r="K19" s="23" t="s">
        <v>12</v>
      </c>
      <c r="L19" s="23" t="s">
        <v>12</v>
      </c>
      <c r="M19" s="23" t="s">
        <v>11</v>
      </c>
      <c r="N19" s="23" t="s">
        <v>11</v>
      </c>
      <c r="O19" s="23" t="s">
        <v>11</v>
      </c>
      <c r="P19" s="16" t="s">
        <v>22</v>
      </c>
      <c r="Q19" s="16" t="s">
        <v>22</v>
      </c>
      <c r="R19" s="23" t="s">
        <v>22</v>
      </c>
      <c r="S19" s="23" t="s">
        <v>22</v>
      </c>
      <c r="T19" s="23" t="s">
        <v>11</v>
      </c>
      <c r="U19" s="23" t="s">
        <v>11</v>
      </c>
      <c r="V19" s="23" t="s">
        <v>11</v>
      </c>
      <c r="W19" s="23" t="s">
        <v>11</v>
      </c>
      <c r="X19" s="23" t="s">
        <v>22</v>
      </c>
      <c r="Y19" s="23" t="s">
        <v>22</v>
      </c>
      <c r="Z19" s="23" t="s">
        <v>22</v>
      </c>
      <c r="AA19" s="23" t="s">
        <v>22</v>
      </c>
      <c r="AB19" s="23" t="s">
        <v>22</v>
      </c>
      <c r="AC19" s="23" t="s">
        <v>22</v>
      </c>
      <c r="AD19" s="23" t="s">
        <v>22</v>
      </c>
      <c r="AE19" s="23" t="s">
        <v>11</v>
      </c>
      <c r="AF19" s="23" t="s">
        <v>22</v>
      </c>
      <c r="AG19" s="23" t="s">
        <v>22</v>
      </c>
      <c r="AH19" s="21">
        <f t="shared" si="0"/>
        <v>0.83333333333333337</v>
      </c>
      <c r="AI19"/>
    </row>
    <row r="20" spans="1:35" ht="15.75" customHeight="1" x14ac:dyDescent="0.25">
      <c r="A20" s="177" t="s">
        <v>24</v>
      </c>
      <c r="B20" s="178"/>
      <c r="C20" s="179"/>
      <c r="D20" s="23" t="s">
        <v>11</v>
      </c>
      <c r="E20" s="23" t="s">
        <v>11</v>
      </c>
      <c r="F20" s="23" t="s">
        <v>11</v>
      </c>
      <c r="G20" s="23" t="s">
        <v>22</v>
      </c>
      <c r="H20" s="23" t="s">
        <v>12</v>
      </c>
      <c r="I20" s="23" t="s">
        <v>12</v>
      </c>
      <c r="J20" s="23" t="s">
        <v>12</v>
      </c>
      <c r="K20" s="23" t="s">
        <v>12</v>
      </c>
      <c r="L20" s="23" t="s">
        <v>12</v>
      </c>
      <c r="M20" s="23" t="s">
        <v>11</v>
      </c>
      <c r="N20" s="23" t="s">
        <v>11</v>
      </c>
      <c r="O20" s="23" t="s">
        <v>11</v>
      </c>
      <c r="P20" s="80" t="s">
        <v>22</v>
      </c>
      <c r="Q20" s="80" t="s">
        <v>22</v>
      </c>
      <c r="R20" s="23" t="s">
        <v>22</v>
      </c>
      <c r="S20" s="23" t="s">
        <v>22</v>
      </c>
      <c r="T20" s="23" t="s">
        <v>11</v>
      </c>
      <c r="U20" s="23" t="s">
        <v>11</v>
      </c>
      <c r="V20" s="23" t="s">
        <v>11</v>
      </c>
      <c r="W20" s="23" t="s">
        <v>11</v>
      </c>
      <c r="X20" s="23" t="s">
        <v>22</v>
      </c>
      <c r="Y20" s="23" t="s">
        <v>22</v>
      </c>
      <c r="Z20" s="23" t="s">
        <v>22</v>
      </c>
      <c r="AA20" s="23" t="s">
        <v>22</v>
      </c>
      <c r="AB20" s="23" t="s">
        <v>22</v>
      </c>
      <c r="AC20" s="23" t="s">
        <v>22</v>
      </c>
      <c r="AD20" s="23" t="s">
        <v>22</v>
      </c>
      <c r="AE20" s="23" t="s">
        <v>11</v>
      </c>
      <c r="AF20" s="23" t="s">
        <v>22</v>
      </c>
      <c r="AG20" s="23" t="s">
        <v>22</v>
      </c>
      <c r="AH20" s="21">
        <f t="shared" si="0"/>
        <v>0.83333333333333337</v>
      </c>
      <c r="AI20"/>
    </row>
    <row r="21" spans="1:35" ht="15.75" customHeight="1" x14ac:dyDescent="0.25">
      <c r="A21" s="180" t="s">
        <v>25</v>
      </c>
      <c r="B21" s="181"/>
      <c r="C21" s="182"/>
      <c r="D21" s="14" t="s">
        <v>11</v>
      </c>
      <c r="E21" s="14" t="s">
        <v>11</v>
      </c>
      <c r="F21" s="14" t="s">
        <v>11</v>
      </c>
      <c r="G21" s="14" t="s">
        <v>22</v>
      </c>
      <c r="H21" s="14" t="s">
        <v>12</v>
      </c>
      <c r="I21" s="14" t="s">
        <v>12</v>
      </c>
      <c r="J21" s="14" t="s">
        <v>12</v>
      </c>
      <c r="K21" s="14" t="s">
        <v>12</v>
      </c>
      <c r="L21" s="14" t="s">
        <v>12</v>
      </c>
      <c r="M21" s="14" t="s">
        <v>11</v>
      </c>
      <c r="N21" s="14" t="s">
        <v>11</v>
      </c>
      <c r="O21" s="14" t="s">
        <v>11</v>
      </c>
      <c r="P21" s="73" t="s">
        <v>22</v>
      </c>
      <c r="Q21" s="73" t="s">
        <v>22</v>
      </c>
      <c r="R21" s="14" t="s">
        <v>22</v>
      </c>
      <c r="S21" s="14" t="s">
        <v>22</v>
      </c>
      <c r="T21" s="14" t="s">
        <v>11</v>
      </c>
      <c r="U21" s="14" t="s">
        <v>11</v>
      </c>
      <c r="V21" s="14" t="s">
        <v>11</v>
      </c>
      <c r="W21" s="14" t="s">
        <v>11</v>
      </c>
      <c r="X21" s="14" t="s">
        <v>22</v>
      </c>
      <c r="Y21" s="14" t="s">
        <v>22</v>
      </c>
      <c r="Z21" s="14" t="s">
        <v>22</v>
      </c>
      <c r="AA21" s="14" t="s">
        <v>22</v>
      </c>
      <c r="AB21" s="14" t="s">
        <v>22</v>
      </c>
      <c r="AC21" s="14" t="s">
        <v>22</v>
      </c>
      <c r="AD21" s="14" t="s">
        <v>22</v>
      </c>
      <c r="AE21" s="14" t="s">
        <v>11</v>
      </c>
      <c r="AF21" s="14" t="s">
        <v>22</v>
      </c>
      <c r="AG21" s="14" t="s">
        <v>22</v>
      </c>
      <c r="AH21" s="17">
        <f t="shared" si="0"/>
        <v>0.83333333333333337</v>
      </c>
      <c r="AI21"/>
    </row>
    <row r="22" spans="1:35" ht="15.75" customHeight="1" x14ac:dyDescent="0.25">
      <c r="A22" s="162" t="s">
        <v>26</v>
      </c>
      <c r="B22" s="163"/>
      <c r="C22" s="164"/>
      <c r="D22" s="24" t="s">
        <v>22</v>
      </c>
      <c r="E22" s="24" t="s">
        <v>22</v>
      </c>
      <c r="F22" s="24" t="s">
        <v>22</v>
      </c>
      <c r="G22" s="81" t="s">
        <v>12</v>
      </c>
      <c r="H22" s="81" t="s">
        <v>12</v>
      </c>
      <c r="I22" s="81" t="s">
        <v>12</v>
      </c>
      <c r="J22" s="81" t="s">
        <v>12</v>
      </c>
      <c r="K22" s="81" t="s">
        <v>12</v>
      </c>
      <c r="L22" s="81" t="s">
        <v>12</v>
      </c>
      <c r="M22" s="81" t="s">
        <v>12</v>
      </c>
      <c r="N22" s="81" t="s">
        <v>12</v>
      </c>
      <c r="O22" s="81" t="s">
        <v>22</v>
      </c>
      <c r="P22" s="81" t="s">
        <v>22</v>
      </c>
      <c r="Q22" s="24" t="s">
        <v>22</v>
      </c>
      <c r="R22" s="24" t="s">
        <v>22</v>
      </c>
      <c r="S22" s="24" t="s">
        <v>22</v>
      </c>
      <c r="T22" s="24" t="s">
        <v>12</v>
      </c>
      <c r="U22" s="24" t="s">
        <v>12</v>
      </c>
      <c r="V22" s="24" t="s">
        <v>22</v>
      </c>
      <c r="W22" s="24" t="s">
        <v>12</v>
      </c>
      <c r="X22" s="24" t="s">
        <v>22</v>
      </c>
      <c r="Y22" s="24" t="s">
        <v>12</v>
      </c>
      <c r="Z22" s="24" t="s">
        <v>22</v>
      </c>
      <c r="AA22" s="24" t="s">
        <v>22</v>
      </c>
      <c r="AB22" s="24" t="s">
        <v>12</v>
      </c>
      <c r="AC22" s="24" t="s">
        <v>22</v>
      </c>
      <c r="AD22" s="24" t="s">
        <v>22</v>
      </c>
      <c r="AE22" s="24" t="s">
        <v>11</v>
      </c>
      <c r="AF22" s="24" t="s">
        <v>11</v>
      </c>
      <c r="AG22" s="24" t="s">
        <v>11</v>
      </c>
      <c r="AH22" s="19">
        <f t="shared" si="0"/>
        <v>0.56666666666666665</v>
      </c>
      <c r="AI22"/>
    </row>
    <row r="23" spans="1:35" ht="15.75" customHeight="1" x14ac:dyDescent="0.25">
      <c r="A23" s="174" t="s">
        <v>27</v>
      </c>
      <c r="B23" s="175"/>
      <c r="C23" s="176"/>
      <c r="D23" s="22" t="s">
        <v>11</v>
      </c>
      <c r="E23" s="22" t="s">
        <v>11</v>
      </c>
      <c r="F23" s="22" t="s">
        <v>11</v>
      </c>
      <c r="G23" s="20" t="s">
        <v>12</v>
      </c>
      <c r="H23" s="20" t="s">
        <v>12</v>
      </c>
      <c r="I23" s="20" t="s">
        <v>12</v>
      </c>
      <c r="J23" s="20" t="s">
        <v>11</v>
      </c>
      <c r="K23" s="20" t="s">
        <v>12</v>
      </c>
      <c r="L23" s="20" t="s">
        <v>11</v>
      </c>
      <c r="M23" s="20" t="s">
        <v>11</v>
      </c>
      <c r="N23" s="20" t="s">
        <v>12</v>
      </c>
      <c r="O23" s="20" t="s">
        <v>12</v>
      </c>
      <c r="P23" s="20" t="s">
        <v>12</v>
      </c>
      <c r="Q23" s="20" t="s">
        <v>11</v>
      </c>
      <c r="R23" s="79" t="s">
        <v>11</v>
      </c>
      <c r="S23" s="79" t="s">
        <v>11</v>
      </c>
      <c r="T23" s="79" t="s">
        <v>11</v>
      </c>
      <c r="U23" s="79" t="s">
        <v>11</v>
      </c>
      <c r="V23" s="79" t="s">
        <v>11</v>
      </c>
      <c r="W23" s="79" t="s">
        <v>11</v>
      </c>
      <c r="X23" s="79" t="s">
        <v>22</v>
      </c>
      <c r="Y23" s="79" t="s">
        <v>12</v>
      </c>
      <c r="Z23" s="79" t="s">
        <v>12</v>
      </c>
      <c r="AA23" s="79" t="s">
        <v>12</v>
      </c>
      <c r="AB23" s="79" t="s">
        <v>11</v>
      </c>
      <c r="AC23" s="79" t="s">
        <v>11</v>
      </c>
      <c r="AD23" s="79" t="s">
        <v>11</v>
      </c>
      <c r="AE23" s="79" t="s">
        <v>11</v>
      </c>
      <c r="AF23" s="79" t="s">
        <v>11</v>
      </c>
      <c r="AG23" s="79" t="s">
        <v>12</v>
      </c>
      <c r="AH23" s="13">
        <f t="shared" si="0"/>
        <v>0.6333333333333333</v>
      </c>
      <c r="AI23"/>
    </row>
    <row r="24" spans="1:35" ht="15.75" customHeight="1" x14ac:dyDescent="0.25">
      <c r="A24" s="180" t="s">
        <v>28</v>
      </c>
      <c r="B24" s="181"/>
      <c r="C24" s="182"/>
      <c r="D24" s="14" t="s">
        <v>11</v>
      </c>
      <c r="E24" s="14" t="s">
        <v>11</v>
      </c>
      <c r="F24" s="14" t="s">
        <v>11</v>
      </c>
      <c r="G24" s="15" t="s">
        <v>12</v>
      </c>
      <c r="H24" s="15" t="s">
        <v>12</v>
      </c>
      <c r="I24" s="15" t="s">
        <v>12</v>
      </c>
      <c r="J24" s="15" t="s">
        <v>11</v>
      </c>
      <c r="K24" s="15" t="s">
        <v>12</v>
      </c>
      <c r="L24" s="15" t="s">
        <v>11</v>
      </c>
      <c r="M24" s="15" t="s">
        <v>11</v>
      </c>
      <c r="N24" s="15" t="s">
        <v>12</v>
      </c>
      <c r="O24" s="15" t="s">
        <v>12</v>
      </c>
      <c r="P24" s="15" t="s">
        <v>12</v>
      </c>
      <c r="Q24" s="15" t="s">
        <v>11</v>
      </c>
      <c r="R24" s="73" t="s">
        <v>11</v>
      </c>
      <c r="S24" s="73" t="s">
        <v>11</v>
      </c>
      <c r="T24" s="73" t="s">
        <v>11</v>
      </c>
      <c r="U24" s="73" t="s">
        <v>11</v>
      </c>
      <c r="V24" s="73" t="s">
        <v>11</v>
      </c>
      <c r="W24" s="73" t="s">
        <v>11</v>
      </c>
      <c r="X24" s="73" t="s">
        <v>22</v>
      </c>
      <c r="Y24" s="73" t="s">
        <v>12</v>
      </c>
      <c r="Z24" s="73" t="s">
        <v>12</v>
      </c>
      <c r="AA24" s="73" t="s">
        <v>12</v>
      </c>
      <c r="AB24" s="73" t="s">
        <v>11</v>
      </c>
      <c r="AC24" s="73" t="s">
        <v>11</v>
      </c>
      <c r="AD24" s="73" t="s">
        <v>11</v>
      </c>
      <c r="AE24" s="73" t="s">
        <v>11</v>
      </c>
      <c r="AF24" s="73" t="s">
        <v>11</v>
      </c>
      <c r="AG24" s="73" t="s">
        <v>12</v>
      </c>
      <c r="AH24" s="17">
        <f t="shared" si="0"/>
        <v>0.6333333333333333</v>
      </c>
      <c r="AI24"/>
    </row>
    <row r="25" spans="1:35" ht="15.75" customHeight="1" x14ac:dyDescent="0.25">
      <c r="A25" s="162" t="s">
        <v>29</v>
      </c>
      <c r="B25" s="163"/>
      <c r="C25" s="164"/>
      <c r="D25" s="26" t="s">
        <v>11</v>
      </c>
      <c r="E25" s="26" t="s">
        <v>11</v>
      </c>
      <c r="F25" s="26" t="s">
        <v>11</v>
      </c>
      <c r="G25" s="81" t="s">
        <v>22</v>
      </c>
      <c r="H25" s="81" t="s">
        <v>12</v>
      </c>
      <c r="I25" s="81" t="s">
        <v>12</v>
      </c>
      <c r="J25" s="81" t="s">
        <v>12</v>
      </c>
      <c r="K25" s="81" t="s">
        <v>12</v>
      </c>
      <c r="L25" s="81" t="s">
        <v>12</v>
      </c>
      <c r="M25" s="81" t="s">
        <v>22</v>
      </c>
      <c r="N25" s="81" t="s">
        <v>22</v>
      </c>
      <c r="O25" s="25" t="s">
        <v>22</v>
      </c>
      <c r="P25" s="25" t="s">
        <v>22</v>
      </c>
      <c r="Q25" s="25" t="s">
        <v>22</v>
      </c>
      <c r="R25" s="26" t="s">
        <v>22</v>
      </c>
      <c r="S25" s="26" t="s">
        <v>22</v>
      </c>
      <c r="T25" s="26" t="s">
        <v>11</v>
      </c>
      <c r="U25" s="26" t="s">
        <v>11</v>
      </c>
      <c r="V25" s="26" t="s">
        <v>11</v>
      </c>
      <c r="W25" s="26" t="s">
        <v>11</v>
      </c>
      <c r="X25" s="26" t="s">
        <v>22</v>
      </c>
      <c r="Y25" s="26" t="s">
        <v>22</v>
      </c>
      <c r="Z25" s="26" t="s">
        <v>11</v>
      </c>
      <c r="AA25" s="26" t="s">
        <v>22</v>
      </c>
      <c r="AB25" s="26" t="s">
        <v>22</v>
      </c>
      <c r="AC25" s="26" t="s">
        <v>22</v>
      </c>
      <c r="AD25" s="26" t="s">
        <v>22</v>
      </c>
      <c r="AE25" s="26" t="s">
        <v>11</v>
      </c>
      <c r="AF25" s="26" t="s">
        <v>11</v>
      </c>
      <c r="AG25" s="26" t="s">
        <v>22</v>
      </c>
      <c r="AH25" s="19">
        <f t="shared" si="0"/>
        <v>0.83333333333333337</v>
      </c>
      <c r="AI25"/>
    </row>
    <row r="26" spans="1:35" ht="15.75" customHeight="1" x14ac:dyDescent="0.25">
      <c r="A26" s="162" t="s">
        <v>30</v>
      </c>
      <c r="B26" s="163"/>
      <c r="C26" s="164"/>
      <c r="D26" s="81" t="s">
        <v>11</v>
      </c>
      <c r="E26" s="81" t="s">
        <v>11</v>
      </c>
      <c r="F26" s="81" t="s">
        <v>11</v>
      </c>
      <c r="G26" s="81" t="s">
        <v>22</v>
      </c>
      <c r="H26" s="81" t="s">
        <v>12</v>
      </c>
      <c r="I26" s="81" t="s">
        <v>12</v>
      </c>
      <c r="J26" s="81" t="s">
        <v>12</v>
      </c>
      <c r="K26" s="81" t="s">
        <v>12</v>
      </c>
      <c r="L26" s="81" t="s">
        <v>12</v>
      </c>
      <c r="M26" s="81" t="s">
        <v>22</v>
      </c>
      <c r="N26" s="81" t="s">
        <v>22</v>
      </c>
      <c r="O26" s="81" t="s">
        <v>22</v>
      </c>
      <c r="P26" s="81" t="s">
        <v>22</v>
      </c>
      <c r="Q26" s="81" t="s">
        <v>22</v>
      </c>
      <c r="R26" s="81" t="s">
        <v>22</v>
      </c>
      <c r="S26" s="81" t="s">
        <v>22</v>
      </c>
      <c r="T26" s="81" t="s">
        <v>11</v>
      </c>
      <c r="U26" s="81" t="s">
        <v>11</v>
      </c>
      <c r="V26" s="81" t="s">
        <v>11</v>
      </c>
      <c r="W26" s="81" t="s">
        <v>11</v>
      </c>
      <c r="X26" s="81" t="s">
        <v>22</v>
      </c>
      <c r="Y26" s="81" t="s">
        <v>22</v>
      </c>
      <c r="Z26" s="81" t="s">
        <v>11</v>
      </c>
      <c r="AA26" s="81" t="s">
        <v>22</v>
      </c>
      <c r="AB26" s="81" t="s">
        <v>22</v>
      </c>
      <c r="AC26" s="81" t="s">
        <v>22</v>
      </c>
      <c r="AD26" s="81" t="s">
        <v>22</v>
      </c>
      <c r="AE26" s="81" t="s">
        <v>11</v>
      </c>
      <c r="AF26" s="81" t="s">
        <v>11</v>
      </c>
      <c r="AG26" s="81" t="s">
        <v>22</v>
      </c>
      <c r="AH26" s="19">
        <f t="shared" si="0"/>
        <v>0.83333333333333337</v>
      </c>
      <c r="AI26"/>
    </row>
    <row r="27" spans="1:35" ht="15.75" customHeight="1" x14ac:dyDescent="0.25">
      <c r="A27" s="156" t="s">
        <v>31</v>
      </c>
      <c r="B27" s="157"/>
      <c r="C27" s="158"/>
      <c r="D27" s="27" t="s">
        <v>12</v>
      </c>
      <c r="E27" s="27" t="s">
        <v>12</v>
      </c>
      <c r="F27" s="27" t="s">
        <v>12</v>
      </c>
      <c r="G27" s="27" t="s">
        <v>12</v>
      </c>
      <c r="H27" s="27" t="s">
        <v>12</v>
      </c>
      <c r="I27" s="27" t="s">
        <v>12</v>
      </c>
      <c r="J27" s="27" t="s">
        <v>12</v>
      </c>
      <c r="K27" s="27" t="s">
        <v>12</v>
      </c>
      <c r="L27" s="27" t="s">
        <v>12</v>
      </c>
      <c r="M27" s="27" t="s">
        <v>12</v>
      </c>
      <c r="N27" s="27" t="s">
        <v>12</v>
      </c>
      <c r="O27" s="27" t="s">
        <v>12</v>
      </c>
      <c r="P27" s="72" t="s">
        <v>12</v>
      </c>
      <c r="Q27" s="72" t="s">
        <v>12</v>
      </c>
      <c r="R27" s="72" t="s">
        <v>12</v>
      </c>
      <c r="S27" s="72" t="s">
        <v>12</v>
      </c>
      <c r="T27" s="72" t="s">
        <v>12</v>
      </c>
      <c r="U27" s="72" t="s">
        <v>12</v>
      </c>
      <c r="V27" s="72" t="s">
        <v>12</v>
      </c>
      <c r="W27" s="72" t="s">
        <v>12</v>
      </c>
      <c r="X27" s="72" t="s">
        <v>12</v>
      </c>
      <c r="Y27" s="72" t="s">
        <v>12</v>
      </c>
      <c r="Z27" s="72" t="s">
        <v>12</v>
      </c>
      <c r="AA27" s="72" t="s">
        <v>12</v>
      </c>
      <c r="AB27" s="72" t="s">
        <v>12</v>
      </c>
      <c r="AC27" s="72" t="s">
        <v>12</v>
      </c>
      <c r="AD27" s="27" t="s">
        <v>12</v>
      </c>
      <c r="AE27" s="27" t="s">
        <v>12</v>
      </c>
      <c r="AF27" s="27" t="s">
        <v>12</v>
      </c>
      <c r="AG27" s="27" t="s">
        <v>12</v>
      </c>
      <c r="AH27" s="13">
        <f t="shared" si="0"/>
        <v>0</v>
      </c>
      <c r="AI27"/>
    </row>
    <row r="28" spans="1:35" ht="15.75" customHeight="1" x14ac:dyDescent="0.25">
      <c r="A28" s="183" t="s">
        <v>32</v>
      </c>
      <c r="B28" s="184"/>
      <c r="C28" s="185"/>
      <c r="D28" s="75">
        <v>2</v>
      </c>
      <c r="E28" s="75">
        <v>2</v>
      </c>
      <c r="F28" s="75">
        <v>2</v>
      </c>
      <c r="G28" s="75">
        <v>2</v>
      </c>
      <c r="H28" s="28">
        <v>0</v>
      </c>
      <c r="I28" s="28" t="s">
        <v>114</v>
      </c>
      <c r="J28" s="28" t="s">
        <v>114</v>
      </c>
      <c r="K28" s="28" t="s">
        <v>114</v>
      </c>
      <c r="L28" s="28" t="s">
        <v>114</v>
      </c>
      <c r="M28" s="75">
        <v>2</v>
      </c>
      <c r="N28" s="75">
        <v>2</v>
      </c>
      <c r="O28" s="75">
        <v>2</v>
      </c>
      <c r="P28" s="82">
        <v>2</v>
      </c>
      <c r="Q28" s="28">
        <v>2</v>
      </c>
      <c r="R28" s="28">
        <v>2</v>
      </c>
      <c r="S28" s="28">
        <v>2</v>
      </c>
      <c r="T28" s="28">
        <v>2</v>
      </c>
      <c r="U28" s="28">
        <v>2</v>
      </c>
      <c r="V28" s="28">
        <v>2</v>
      </c>
      <c r="W28" s="75">
        <v>0</v>
      </c>
      <c r="X28" s="75">
        <v>0</v>
      </c>
      <c r="Y28" s="75">
        <v>2</v>
      </c>
      <c r="Z28" s="28" t="s">
        <v>114</v>
      </c>
      <c r="AA28" s="75">
        <v>0</v>
      </c>
      <c r="AB28" s="75">
        <v>2</v>
      </c>
      <c r="AC28" s="75">
        <v>2</v>
      </c>
      <c r="AD28" s="75">
        <v>2</v>
      </c>
      <c r="AE28" s="75">
        <v>0</v>
      </c>
      <c r="AF28" s="28" t="s">
        <v>114</v>
      </c>
      <c r="AG28" s="75">
        <v>2</v>
      </c>
      <c r="AH28" s="17">
        <f t="shared" si="0"/>
        <v>0.83333333333333337</v>
      </c>
      <c r="AI28"/>
    </row>
    <row r="29" spans="1:35" ht="15.75" customHeight="1" x14ac:dyDescent="0.25">
      <c r="A29" s="171" t="s">
        <v>97</v>
      </c>
      <c r="B29" s="172"/>
      <c r="C29" s="173"/>
      <c r="D29" s="83">
        <v>0</v>
      </c>
      <c r="E29" s="83">
        <v>0</v>
      </c>
      <c r="F29" s="83">
        <v>0</v>
      </c>
      <c r="G29" s="83">
        <v>0</v>
      </c>
      <c r="H29" s="83">
        <v>0</v>
      </c>
      <c r="I29" s="83">
        <v>0</v>
      </c>
      <c r="J29" s="83">
        <v>0</v>
      </c>
      <c r="K29" s="83">
        <v>0</v>
      </c>
      <c r="L29" s="83">
        <v>0</v>
      </c>
      <c r="M29" s="83">
        <v>0</v>
      </c>
      <c r="N29" s="83">
        <v>0</v>
      </c>
      <c r="O29" s="83">
        <v>0</v>
      </c>
      <c r="P29" s="83">
        <v>0</v>
      </c>
      <c r="Q29" s="83">
        <v>0</v>
      </c>
      <c r="R29" s="83">
        <v>0</v>
      </c>
      <c r="S29" s="83">
        <v>0</v>
      </c>
      <c r="T29" s="83">
        <v>0</v>
      </c>
      <c r="U29" s="83">
        <v>0</v>
      </c>
      <c r="V29" s="83">
        <v>0</v>
      </c>
      <c r="W29" s="83">
        <v>0</v>
      </c>
      <c r="X29" s="83">
        <v>0</v>
      </c>
      <c r="Y29" s="83">
        <v>0</v>
      </c>
      <c r="Z29" s="83">
        <v>0</v>
      </c>
      <c r="AA29" s="83">
        <v>0</v>
      </c>
      <c r="AB29" s="83">
        <v>0</v>
      </c>
      <c r="AC29" s="83">
        <v>0</v>
      </c>
      <c r="AD29" s="83">
        <v>0</v>
      </c>
      <c r="AE29" s="83">
        <v>0</v>
      </c>
      <c r="AF29" s="83">
        <v>0</v>
      </c>
      <c r="AG29" s="83">
        <v>0</v>
      </c>
      <c r="AH29" s="19">
        <f t="shared" si="0"/>
        <v>0</v>
      </c>
      <c r="AI29"/>
    </row>
    <row r="30" spans="1:35" ht="15.75" customHeight="1" x14ac:dyDescent="0.25">
      <c r="A30" s="153" t="s">
        <v>33</v>
      </c>
      <c r="B30" s="154"/>
      <c r="C30" s="155"/>
      <c r="D30" s="84" t="s">
        <v>12</v>
      </c>
      <c r="E30" s="84" t="s">
        <v>12</v>
      </c>
      <c r="F30" s="84" t="s">
        <v>12</v>
      </c>
      <c r="G30" s="84" t="s">
        <v>12</v>
      </c>
      <c r="H30" s="84" t="s">
        <v>12</v>
      </c>
      <c r="I30" s="84" t="s">
        <v>12</v>
      </c>
      <c r="J30" s="84" t="s">
        <v>12</v>
      </c>
      <c r="K30" s="84" t="s">
        <v>12</v>
      </c>
      <c r="L30" s="84" t="s">
        <v>12</v>
      </c>
      <c r="M30" s="84" t="s">
        <v>12</v>
      </c>
      <c r="N30" s="84" t="s">
        <v>12</v>
      </c>
      <c r="O30" s="84" t="s">
        <v>12</v>
      </c>
      <c r="P30" s="84" t="s">
        <v>12</v>
      </c>
      <c r="Q30" s="84" t="s">
        <v>12</v>
      </c>
      <c r="R30" s="84" t="s">
        <v>12</v>
      </c>
      <c r="S30" s="84" t="s">
        <v>12</v>
      </c>
      <c r="T30" s="84" t="s">
        <v>12</v>
      </c>
      <c r="U30" s="84" t="s">
        <v>12</v>
      </c>
      <c r="V30" s="84" t="s">
        <v>12</v>
      </c>
      <c r="W30" s="84" t="s">
        <v>12</v>
      </c>
      <c r="X30" s="84" t="s">
        <v>12</v>
      </c>
      <c r="Y30" s="84" t="s">
        <v>12</v>
      </c>
      <c r="Z30" s="84" t="s">
        <v>12</v>
      </c>
      <c r="AA30" s="84" t="s">
        <v>12</v>
      </c>
      <c r="AB30" s="84" t="s">
        <v>12</v>
      </c>
      <c r="AC30" s="84" t="s">
        <v>12</v>
      </c>
      <c r="AD30" s="84" t="s">
        <v>12</v>
      </c>
      <c r="AE30" s="84" t="s">
        <v>12</v>
      </c>
      <c r="AF30" s="84" t="s">
        <v>12</v>
      </c>
      <c r="AG30" s="84" t="s">
        <v>12</v>
      </c>
      <c r="AH30" s="19">
        <f t="shared" si="0"/>
        <v>0</v>
      </c>
      <c r="AI30"/>
    </row>
    <row r="31" spans="1:35" ht="15.75" customHeight="1" x14ac:dyDescent="0.25">
      <c r="A31" s="156" t="s">
        <v>34</v>
      </c>
      <c r="B31" s="157"/>
      <c r="C31" s="158"/>
      <c r="D31" s="72" t="s">
        <v>12</v>
      </c>
      <c r="E31" s="72" t="s">
        <v>12</v>
      </c>
      <c r="F31" s="72" t="s">
        <v>12</v>
      </c>
      <c r="G31" s="72" t="s">
        <v>12</v>
      </c>
      <c r="H31" s="72" t="s">
        <v>12</v>
      </c>
      <c r="I31" s="72" t="s">
        <v>12</v>
      </c>
      <c r="J31" s="72" t="s">
        <v>12</v>
      </c>
      <c r="K31" s="72" t="s">
        <v>12</v>
      </c>
      <c r="L31" s="72" t="s">
        <v>12</v>
      </c>
      <c r="M31" s="72" t="s">
        <v>12</v>
      </c>
      <c r="N31" s="72" t="s">
        <v>12</v>
      </c>
      <c r="O31" s="72" t="s">
        <v>12</v>
      </c>
      <c r="P31" s="72" t="s">
        <v>12</v>
      </c>
      <c r="Q31" s="72" t="s">
        <v>12</v>
      </c>
      <c r="R31" s="72" t="s">
        <v>12</v>
      </c>
      <c r="S31" s="72" t="s">
        <v>12</v>
      </c>
      <c r="T31" s="72" t="s">
        <v>12</v>
      </c>
      <c r="U31" s="72" t="s">
        <v>12</v>
      </c>
      <c r="V31" s="72" t="s">
        <v>12</v>
      </c>
      <c r="W31" s="72" t="s">
        <v>12</v>
      </c>
      <c r="X31" s="72" t="s">
        <v>12</v>
      </c>
      <c r="Y31" s="72" t="s">
        <v>12</v>
      </c>
      <c r="Z31" s="72" t="s">
        <v>12</v>
      </c>
      <c r="AA31" s="72" t="s">
        <v>12</v>
      </c>
      <c r="AB31" s="72" t="s">
        <v>12</v>
      </c>
      <c r="AC31" s="72" t="s">
        <v>12</v>
      </c>
      <c r="AD31" s="72" t="s">
        <v>12</v>
      </c>
      <c r="AE31" s="72" t="s">
        <v>12</v>
      </c>
      <c r="AF31" s="72" t="s">
        <v>12</v>
      </c>
      <c r="AG31" s="72" t="s">
        <v>12</v>
      </c>
      <c r="AH31" s="13">
        <f t="shared" si="0"/>
        <v>0</v>
      </c>
      <c r="AI31"/>
    </row>
    <row r="32" spans="1:35" ht="15.75" customHeight="1" x14ac:dyDescent="0.25">
      <c r="A32" s="159" t="s">
        <v>35</v>
      </c>
      <c r="B32" s="160"/>
      <c r="C32" s="161"/>
      <c r="D32" s="85" t="s">
        <v>12</v>
      </c>
      <c r="E32" s="85" t="s">
        <v>12</v>
      </c>
      <c r="F32" s="85" t="s">
        <v>12</v>
      </c>
      <c r="G32" s="85" t="s">
        <v>12</v>
      </c>
      <c r="H32" s="85" t="s">
        <v>12</v>
      </c>
      <c r="I32" s="85" t="s">
        <v>12</v>
      </c>
      <c r="J32" s="85" t="s">
        <v>12</v>
      </c>
      <c r="K32" s="85" t="s">
        <v>12</v>
      </c>
      <c r="L32" s="85" t="s">
        <v>12</v>
      </c>
      <c r="M32" s="85" t="s">
        <v>12</v>
      </c>
      <c r="N32" s="85" t="s">
        <v>12</v>
      </c>
      <c r="O32" s="85" t="s">
        <v>12</v>
      </c>
      <c r="P32" s="85" t="s">
        <v>12</v>
      </c>
      <c r="Q32" s="85" t="s">
        <v>12</v>
      </c>
      <c r="R32" s="85" t="s">
        <v>12</v>
      </c>
      <c r="S32" s="85" t="s">
        <v>12</v>
      </c>
      <c r="T32" s="85" t="s">
        <v>12</v>
      </c>
      <c r="U32" s="85" t="s">
        <v>12</v>
      </c>
      <c r="V32" s="85" t="s">
        <v>12</v>
      </c>
      <c r="W32" s="85" t="s">
        <v>12</v>
      </c>
      <c r="X32" s="85" t="s">
        <v>12</v>
      </c>
      <c r="Y32" s="85" t="s">
        <v>12</v>
      </c>
      <c r="Z32" s="85" t="s">
        <v>12</v>
      </c>
      <c r="AA32" s="85" t="s">
        <v>12</v>
      </c>
      <c r="AB32" s="85" t="s">
        <v>12</v>
      </c>
      <c r="AC32" s="85" t="s">
        <v>12</v>
      </c>
      <c r="AD32" s="85" t="s">
        <v>12</v>
      </c>
      <c r="AE32" s="85" t="s">
        <v>12</v>
      </c>
      <c r="AF32" s="85" t="s">
        <v>12</v>
      </c>
      <c r="AG32" s="85" t="s">
        <v>12</v>
      </c>
      <c r="AH32" s="17">
        <f t="shared" si="0"/>
        <v>0</v>
      </c>
      <c r="AI32"/>
    </row>
    <row r="33" spans="1:44" ht="15.75" customHeight="1" x14ac:dyDescent="0.25">
      <c r="A33" s="162" t="s">
        <v>36</v>
      </c>
      <c r="B33" s="163"/>
      <c r="C33" s="164"/>
      <c r="D33" s="25" t="s">
        <v>12</v>
      </c>
      <c r="E33" s="25" t="s">
        <v>12</v>
      </c>
      <c r="F33" s="25" t="s">
        <v>12</v>
      </c>
      <c r="G33" s="25" t="s">
        <v>12</v>
      </c>
      <c r="H33" s="25" t="s">
        <v>12</v>
      </c>
      <c r="I33" s="25" t="s">
        <v>12</v>
      </c>
      <c r="J33" s="25" t="s">
        <v>12</v>
      </c>
      <c r="K33" s="25" t="s">
        <v>12</v>
      </c>
      <c r="L33" s="25" t="s">
        <v>12</v>
      </c>
      <c r="M33" s="25" t="s">
        <v>12</v>
      </c>
      <c r="N33" s="25" t="s">
        <v>12</v>
      </c>
      <c r="O33" s="25" t="s">
        <v>12</v>
      </c>
      <c r="P33" s="81" t="s">
        <v>12</v>
      </c>
      <c r="Q33" s="24" t="s">
        <v>12</v>
      </c>
      <c r="R33" s="24" t="s">
        <v>12</v>
      </c>
      <c r="S33" s="24" t="s">
        <v>12</v>
      </c>
      <c r="T33" s="24" t="s">
        <v>12</v>
      </c>
      <c r="U33" s="24" t="s">
        <v>12</v>
      </c>
      <c r="V33" s="24" t="s">
        <v>12</v>
      </c>
      <c r="W33" s="24" t="s">
        <v>12</v>
      </c>
      <c r="X33" s="24" t="s">
        <v>12</v>
      </c>
      <c r="Y33" s="24" t="s">
        <v>12</v>
      </c>
      <c r="Z33" s="24" t="s">
        <v>12</v>
      </c>
      <c r="AA33" s="24" t="s">
        <v>12</v>
      </c>
      <c r="AB33" s="24" t="s">
        <v>12</v>
      </c>
      <c r="AC33" s="24" t="s">
        <v>12</v>
      </c>
      <c r="AD33" s="25" t="s">
        <v>12</v>
      </c>
      <c r="AE33" s="25" t="s">
        <v>12</v>
      </c>
      <c r="AF33" s="25" t="s">
        <v>12</v>
      </c>
      <c r="AG33" s="25" t="s">
        <v>12</v>
      </c>
      <c r="AH33" s="19">
        <f t="shared" si="0"/>
        <v>0</v>
      </c>
      <c r="AI33"/>
    </row>
    <row r="34" spans="1:44" ht="15.75" customHeight="1" x14ac:dyDescent="0.25">
      <c r="A34" s="162" t="s">
        <v>95</v>
      </c>
      <c r="B34" s="163"/>
      <c r="C34" s="164"/>
      <c r="D34" s="25" t="s">
        <v>12</v>
      </c>
      <c r="E34" s="25" t="s">
        <v>12</v>
      </c>
      <c r="F34" s="25" t="s">
        <v>12</v>
      </c>
      <c r="G34" s="25" t="s">
        <v>12</v>
      </c>
      <c r="H34" s="25" t="s">
        <v>12</v>
      </c>
      <c r="I34" s="25" t="s">
        <v>12</v>
      </c>
      <c r="J34" s="25" t="s">
        <v>12</v>
      </c>
      <c r="K34" s="25" t="s">
        <v>12</v>
      </c>
      <c r="L34" s="25" t="s">
        <v>12</v>
      </c>
      <c r="M34" s="25" t="s">
        <v>12</v>
      </c>
      <c r="N34" s="25" t="s">
        <v>12</v>
      </c>
      <c r="O34" s="25" t="s">
        <v>12</v>
      </c>
      <c r="P34" s="81" t="s">
        <v>12</v>
      </c>
      <c r="Q34" s="24" t="s">
        <v>12</v>
      </c>
      <c r="R34" s="24" t="s">
        <v>12</v>
      </c>
      <c r="S34" s="24" t="s">
        <v>12</v>
      </c>
      <c r="T34" s="24" t="s">
        <v>12</v>
      </c>
      <c r="U34" s="24" t="s">
        <v>12</v>
      </c>
      <c r="V34" s="24" t="s">
        <v>12</v>
      </c>
      <c r="W34" s="24" t="s">
        <v>12</v>
      </c>
      <c r="X34" s="24" t="s">
        <v>12</v>
      </c>
      <c r="Y34" s="24" t="s">
        <v>12</v>
      </c>
      <c r="Z34" s="24" t="s">
        <v>12</v>
      </c>
      <c r="AA34" s="24" t="s">
        <v>12</v>
      </c>
      <c r="AB34" s="24" t="s">
        <v>12</v>
      </c>
      <c r="AC34" s="24" t="s">
        <v>12</v>
      </c>
      <c r="AD34" s="24" t="s">
        <v>12</v>
      </c>
      <c r="AE34" s="24" t="s">
        <v>12</v>
      </c>
      <c r="AF34" s="24" t="s">
        <v>12</v>
      </c>
      <c r="AG34" s="24" t="s">
        <v>12</v>
      </c>
      <c r="AH34" s="19">
        <f t="shared" si="0"/>
        <v>0</v>
      </c>
      <c r="AI34"/>
    </row>
    <row r="35" spans="1:44" ht="15.75" customHeight="1" thickBot="1" x14ac:dyDescent="0.3">
      <c r="A35" s="165" t="s">
        <v>96</v>
      </c>
      <c r="B35" s="166"/>
      <c r="C35" s="167"/>
      <c r="D35" s="97" t="s">
        <v>12</v>
      </c>
      <c r="E35" s="97" t="s">
        <v>12</v>
      </c>
      <c r="F35" s="97" t="s">
        <v>12</v>
      </c>
      <c r="G35" s="97" t="s">
        <v>12</v>
      </c>
      <c r="H35" s="97" t="s">
        <v>12</v>
      </c>
      <c r="I35" s="97" t="s">
        <v>12</v>
      </c>
      <c r="J35" s="97" t="s">
        <v>12</v>
      </c>
      <c r="K35" s="97" t="s">
        <v>12</v>
      </c>
      <c r="L35" s="97" t="s">
        <v>12</v>
      </c>
      <c r="M35" s="97" t="s">
        <v>22</v>
      </c>
      <c r="N35" s="95" t="s">
        <v>12</v>
      </c>
      <c r="O35" s="95" t="s">
        <v>12</v>
      </c>
      <c r="P35" s="95" t="s">
        <v>12</v>
      </c>
      <c r="Q35" s="96" t="s">
        <v>12</v>
      </c>
      <c r="R35" s="96" t="s">
        <v>12</v>
      </c>
      <c r="S35" s="96" t="s">
        <v>12</v>
      </c>
      <c r="T35" s="96" t="s">
        <v>12</v>
      </c>
      <c r="U35" s="96" t="s">
        <v>12</v>
      </c>
      <c r="V35" s="96" t="s">
        <v>12</v>
      </c>
      <c r="W35" s="96" t="s">
        <v>12</v>
      </c>
      <c r="X35" s="96" t="s">
        <v>12</v>
      </c>
      <c r="Y35" s="96" t="s">
        <v>12</v>
      </c>
      <c r="Z35" s="96" t="s">
        <v>12</v>
      </c>
      <c r="AA35" s="96" t="s">
        <v>12</v>
      </c>
      <c r="AB35" s="96" t="s">
        <v>12</v>
      </c>
      <c r="AC35" s="96" t="s">
        <v>12</v>
      </c>
      <c r="AD35" s="96" t="s">
        <v>12</v>
      </c>
      <c r="AE35" s="96" t="s">
        <v>12</v>
      </c>
      <c r="AF35" s="96" t="s">
        <v>12</v>
      </c>
      <c r="AG35" s="96" t="s">
        <v>12</v>
      </c>
      <c r="AH35" s="98">
        <f t="shared" si="0"/>
        <v>3.3333333333333333E-2</v>
      </c>
      <c r="AI35"/>
    </row>
    <row r="36" spans="1:44" s="32" customFormat="1" ht="15.75" customHeight="1" x14ac:dyDescent="0.25">
      <c r="A36" s="150" t="s">
        <v>37</v>
      </c>
      <c r="B36" s="151"/>
      <c r="C36" s="152"/>
      <c r="D36" s="76"/>
      <c r="E36" s="76"/>
      <c r="F36" s="76"/>
      <c r="G36" s="76"/>
      <c r="H36" s="76"/>
      <c r="I36" s="76"/>
      <c r="J36" s="76"/>
      <c r="K36" s="76"/>
      <c r="L36" s="76"/>
      <c r="M36" s="31"/>
      <c r="N36" s="31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31"/>
      <c r="AD36" s="31"/>
      <c r="AE36" s="31"/>
      <c r="AF36" s="31"/>
      <c r="AG36" s="31"/>
      <c r="AH36" s="78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68" t="s">
        <v>38</v>
      </c>
      <c r="B37" s="169"/>
      <c r="C37" s="170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87"/>
      <c r="W37" s="87"/>
      <c r="X37" s="87"/>
      <c r="Y37" s="87"/>
      <c r="Z37" s="87"/>
      <c r="AA37" s="87"/>
      <c r="AB37" s="129"/>
      <c r="AC37" s="87"/>
      <c r="AD37" s="87"/>
      <c r="AE37" s="87"/>
      <c r="AF37" s="87"/>
      <c r="AG37" s="87"/>
      <c r="AH37" s="89"/>
      <c r="AI37" s="35"/>
    </row>
    <row r="38" spans="1:44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/>
      </c>
      <c r="E38" s="37" t="str">
        <f>IF(AND(E5&gt;0,COUNTA(E6:E37)&gt;0,COUNTA(E6:E37)-COUNTIF(E6:E37,"NB")-COUNTIF(E30:E31, "0")=COUNTA(E6:E37)),"AB","")</f>
        <v/>
      </c>
      <c r="F38" s="37" t="str">
        <f>IF(AND(F5&gt;0,COUNTA(F6:F37)&gt;0,COUNTA(F6:F37)-COUNTIF(F6:F37,"NB")-COUNTIF(F30:F31, "0")=COUNTA(F6:F37)),"AB","")</f>
        <v/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/>
      </c>
      <c r="J38" s="37" t="str">
        <f t="shared" ref="J38:AG38" si="1">IF(AND(J5&gt;0,COUNTA(J6:J37)&gt;0,COUNTA(J6:J37)-COUNTIF(J6:J37,"NB")-COUNTIF(J30:J31, "0")=COUNTA(J6:J37)),"AB","")</f>
        <v/>
      </c>
      <c r="K38" s="37" t="str">
        <f t="shared" si="1"/>
        <v/>
      </c>
      <c r="L38" s="37" t="str">
        <f t="shared" si="1"/>
        <v/>
      </c>
      <c r="M38" s="37" t="str">
        <f t="shared" si="1"/>
        <v/>
      </c>
      <c r="N38" s="37" t="str">
        <f t="shared" si="1"/>
        <v/>
      </c>
      <c r="O38" s="37" t="str">
        <f t="shared" si="1"/>
        <v/>
      </c>
      <c r="P38" s="37" t="str">
        <f t="shared" si="1"/>
        <v/>
      </c>
      <c r="Q38" s="37" t="str">
        <f t="shared" si="1"/>
        <v/>
      </c>
      <c r="R38" s="37" t="str">
        <f t="shared" si="1"/>
        <v/>
      </c>
      <c r="S38" s="37" t="str">
        <f t="shared" si="1"/>
        <v/>
      </c>
      <c r="T38" s="37" t="str">
        <f t="shared" si="1"/>
        <v/>
      </c>
      <c r="U38" s="37" t="str">
        <f t="shared" si="1"/>
        <v/>
      </c>
      <c r="V38" s="37" t="str">
        <f t="shared" si="1"/>
        <v/>
      </c>
      <c r="W38" s="37" t="str">
        <f t="shared" si="1"/>
        <v/>
      </c>
      <c r="X38" s="37" t="str">
        <f t="shared" si="1"/>
        <v/>
      </c>
      <c r="Y38" s="37" t="str">
        <f t="shared" si="1"/>
        <v/>
      </c>
      <c r="Z38" s="37" t="str">
        <f t="shared" si="1"/>
        <v/>
      </c>
      <c r="AA38" s="37" t="str">
        <f t="shared" si="1"/>
        <v/>
      </c>
      <c r="AB38" s="37" t="str">
        <f t="shared" si="1"/>
        <v/>
      </c>
      <c r="AC38" s="37" t="str">
        <f t="shared" si="1"/>
        <v/>
      </c>
      <c r="AD38" s="37" t="str">
        <f t="shared" si="1"/>
        <v/>
      </c>
      <c r="AE38" s="37" t="str">
        <f t="shared" si="1"/>
        <v/>
      </c>
      <c r="AF38" s="37" t="str">
        <f t="shared" si="1"/>
        <v/>
      </c>
      <c r="AG38" s="37" t="str">
        <f t="shared" si="1"/>
        <v/>
      </c>
      <c r="AH38" s="37" t="e">
        <f>IF(AND(#REF!&gt;0,COUNTA(AH36:AH37)&gt;0,COUNTA(AH36:AH37)-COUNTIF(AH36:AH37,"NB")-COUNTIF(#REF!, "0")=COUNTA(AH36:AH37)),"AB","")</f>
        <v>#REF!</v>
      </c>
      <c r="AI38" s="35"/>
    </row>
    <row r="39" spans="1:44" ht="15.75" hidden="1" customHeight="1" x14ac:dyDescent="0.25">
      <c r="D39" s="38" t="str">
        <f>IF(AND(D5:D5&gt;0,COUNTA(D6:D35),COUNTIF(D6:D35,"NB")+COUNTIF(D6:D35,0)=COUNTA(D6:D35)),"ANB","")</f>
        <v/>
      </c>
      <c r="E39" s="38" t="str">
        <f>IF(AND(E5:E5&gt;0,COUNTA(E6:E35),COUNTIF(E6:E35,"NB")+COUNTIF(E6:E35,0)=COUNTA(E6:E35)),"ANB","")</f>
        <v/>
      </c>
      <c r="F39" s="38" t="str">
        <f>IF(AND(F5:F5&gt;0,COUNTA(F6:F35),COUNTIF(F6:F35,"NB")+COUNTIF(F6:F35,0)=COUNTA(F6:F35)),"ANB","")</f>
        <v/>
      </c>
      <c r="G39" s="38" t="str">
        <f>IF(AND(G5:G5&gt;0,COUNTA(G6:G35),COUNTIF(G6:G35,"NB")+COUNTIF(G6:G35,0)=COUNTA(G6:G35)),"ANB","")</f>
        <v/>
      </c>
      <c r="H39" s="38" t="str">
        <f>IF(AND(H5:H5&gt;0,COUNTA(H6:H35),COUNTIF(H6:H35,"NB")+COUNTIF(H6:H35,0)=COUNTA(H6:H35)),"ANB","")</f>
        <v>ANB</v>
      </c>
      <c r="I39" s="38" t="str">
        <f>IF(AND(I5:I5&gt;0,COUNTA(I6:I31),COUNTIF(I6:I31,"NB")+COUNTIF(I6:I31,0)=COUNTA(I6:I31)),"ANB","")</f>
        <v/>
      </c>
      <c r="J39" s="38" t="str">
        <f t="shared" ref="J39:AG39" si="2">IF(AND(J5:J5&gt;0,COUNTA(J6:J35),COUNTIF(J6:J35,"NB")+COUNTIF(J6:J35,0)=COUNTA(J6:J35)),"ANB","")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e">
        <f>IF(AND(#REF!&gt;0,COUNTA(#REF!),COUNTIF(#REF!,"NB")+COUNTIF(#REF!,0)=COUNTA(#REF!)),"ANB","")</f>
        <v>#REF!</v>
      </c>
    </row>
    <row r="40" spans="1:44" ht="15.75" customHeight="1" thickBot="1" x14ac:dyDescent="0.3">
      <c r="D40" s="39"/>
    </row>
    <row r="41" spans="1:44" ht="15.75" customHeight="1" thickBot="1" x14ac:dyDescent="0.3">
      <c r="A41" s="147" t="s">
        <v>39</v>
      </c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9"/>
    </row>
    <row r="42" spans="1:44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  <c r="AH49" s="59"/>
    </row>
    <row r="50" spans="1:35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COUNTA(D5:AG5)</f>
        <v>30</v>
      </c>
      <c r="AH50" s="59"/>
      <c r="AI50"/>
    </row>
    <row r="51" spans="1:35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COUNTIF(D38:AH38,"AB")</f>
        <v>0</v>
      </c>
      <c r="AH51" s="59"/>
      <c r="AI51"/>
    </row>
    <row r="52" spans="1:35" ht="15.75" customHeight="1" x14ac:dyDescent="0.25">
      <c r="A52" s="54" t="s">
        <v>82</v>
      </c>
      <c r="B52" t="s">
        <v>83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29</v>
      </c>
      <c r="AH52" s="59"/>
      <c r="AI52"/>
    </row>
    <row r="53" spans="1:35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COUNTIF(D39:AH39,"ANB")</f>
        <v>1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37:C37"/>
    <mergeCell ref="A41:AH41"/>
    <mergeCell ref="A30:C30"/>
    <mergeCell ref="A31:C31"/>
    <mergeCell ref="A32:C32"/>
    <mergeCell ref="A33:C33"/>
    <mergeCell ref="A36:C36"/>
    <mergeCell ref="A34:C34"/>
    <mergeCell ref="A35:C35"/>
  </mergeCells>
  <conditionalFormatting sqref="P6:R7 O22:R26 P9:R21 P27:R35 N35:O35 D36:AG37 W27:W35 AB6:AG7 AB22:AC24 AE23:AG26 AD23:AD24 AD9:AG22 AD27:AG35">
    <cfRule type="cellIs" dxfId="991" priority="113" operator="equal">
      <formula>"B"</formula>
    </cfRule>
    <cfRule type="cellIs" dxfId="990" priority="115" operator="equal">
      <formula>0</formula>
    </cfRule>
    <cfRule type="cellIs" dxfId="989" priority="116" operator="equal">
      <formula>"NB"</formula>
    </cfRule>
    <cfRule type="cellIs" dxfId="988" priority="117" operator="equal">
      <formula>"M"</formula>
    </cfRule>
  </conditionalFormatting>
  <conditionalFormatting sqref="G25:N26 G30:M35 G9:O17 G6:O7 N30:O34">
    <cfRule type="containsText" dxfId="987" priority="110" operator="containsText" text="NB">
      <formula>NOT(ISERROR(SEARCH("NB",G6)))</formula>
    </cfRule>
    <cfRule type="containsText" dxfId="986" priority="111" operator="containsText" text="M">
      <formula>NOT(ISERROR(SEARCH("M",G6)))</formula>
    </cfRule>
    <cfRule type="containsText" dxfId="985" priority="112" operator="containsText" text="B">
      <formula>NOT(ISERROR(SEARCH("B",G6)))</formula>
    </cfRule>
  </conditionalFormatting>
  <conditionalFormatting sqref="G25:N26 G30:M35 G9:O17 G6:O7 N30:O34">
    <cfRule type="cellIs" dxfId="984" priority="109" operator="equal">
      <formula>0</formula>
    </cfRule>
  </conditionalFormatting>
  <conditionalFormatting sqref="G18:N22 O18:O21">
    <cfRule type="containsText" dxfId="983" priority="106" operator="containsText" text="NB">
      <formula>NOT(ISERROR(SEARCH("NB",G18)))</formula>
    </cfRule>
    <cfRule type="containsText" dxfId="982" priority="107" operator="containsText" text="M">
      <formula>NOT(ISERROR(SEARCH("M",G18)))</formula>
    </cfRule>
    <cfRule type="containsText" dxfId="981" priority="108" operator="containsText" text="B">
      <formula>NOT(ISERROR(SEARCH("B",G18)))</formula>
    </cfRule>
  </conditionalFormatting>
  <conditionalFormatting sqref="G18:N22 O18:O21">
    <cfRule type="cellIs" dxfId="980" priority="105" operator="equal">
      <formula>0</formula>
    </cfRule>
  </conditionalFormatting>
  <conditionalFormatting sqref="G27:G28 H27:O27">
    <cfRule type="containsText" dxfId="979" priority="102" operator="containsText" text="NB">
      <formula>NOT(ISERROR(SEARCH("NB",G27)))</formula>
    </cfRule>
    <cfRule type="containsText" dxfId="978" priority="103" operator="containsText" text="M">
      <formula>NOT(ISERROR(SEARCH("M",G27)))</formula>
    </cfRule>
    <cfRule type="containsText" dxfId="977" priority="104" operator="containsText" text="B">
      <formula>NOT(ISERROR(SEARCH("B",G27)))</formula>
    </cfRule>
  </conditionalFormatting>
  <conditionalFormatting sqref="G27:G28 H27:O27">
    <cfRule type="cellIs" dxfId="976" priority="101" operator="equal">
      <formula>0</formula>
    </cfRule>
  </conditionalFormatting>
  <conditionalFormatting sqref="G23:N24">
    <cfRule type="cellIs" dxfId="975" priority="85" operator="equal">
      <formula>"B"</formula>
    </cfRule>
    <cfRule type="cellIs" dxfId="974" priority="86" operator="equal">
      <formula>0</formula>
    </cfRule>
    <cfRule type="cellIs" dxfId="973" priority="87" operator="equal">
      <formula>"NB"</formula>
    </cfRule>
    <cfRule type="cellIs" dxfId="972" priority="88" operator="equal">
      <formula>"M"</formula>
    </cfRule>
  </conditionalFormatting>
  <conditionalFormatting sqref="G29 H28:O29">
    <cfRule type="containsText" dxfId="971" priority="78" operator="containsText" text="NB">
      <formula>NOT(ISERROR(SEARCH("NB",G28)))</formula>
    </cfRule>
    <cfRule type="containsText" dxfId="970" priority="79" operator="containsText" text="M">
      <formula>NOT(ISERROR(SEARCH("M",G28)))</formula>
    </cfRule>
    <cfRule type="containsText" dxfId="969" priority="80" operator="containsText" text="B">
      <formula>NOT(ISERROR(SEARCH("B",G28)))</formula>
    </cfRule>
  </conditionalFormatting>
  <conditionalFormatting sqref="G29 H28:O29">
    <cfRule type="cellIs" dxfId="968" priority="77" operator="equal">
      <formula>0</formula>
    </cfRule>
  </conditionalFormatting>
  <conditionalFormatting sqref="D6:F7 D9:F35">
    <cfRule type="containsText" dxfId="967" priority="54" operator="containsText" text="NB">
      <formula>NOT(ISERROR(SEARCH("NB",D6)))</formula>
    </cfRule>
    <cfRule type="containsText" dxfId="966" priority="55" operator="containsText" text="M">
      <formula>NOT(ISERROR(SEARCH("M",D6)))</formula>
    </cfRule>
    <cfRule type="containsText" dxfId="965" priority="56" operator="containsText" text="B">
      <formula>NOT(ISERROR(SEARCH("B",D6)))</formula>
    </cfRule>
  </conditionalFormatting>
  <conditionalFormatting sqref="D6:F7 D9:F35">
    <cfRule type="cellIs" dxfId="964" priority="53" operator="equal">
      <formula>0</formula>
    </cfRule>
  </conditionalFormatting>
  <conditionalFormatting sqref="D8:R8 AB8:AG8">
    <cfRule type="cellIs" dxfId="963" priority="49" operator="equal">
      <formula>0</formula>
    </cfRule>
    <cfRule type="cellIs" dxfId="962" priority="50" operator="equal">
      <formula>"B"</formula>
    </cfRule>
    <cfRule type="cellIs" dxfId="961" priority="51" operator="equal">
      <formula>"M"</formula>
    </cfRule>
    <cfRule type="cellIs" dxfId="960" priority="52" operator="equal">
      <formula>"NB"</formula>
    </cfRule>
  </conditionalFormatting>
  <conditionalFormatting sqref="W23:W26 S6:V7 S9:V35">
    <cfRule type="cellIs" dxfId="959" priority="45" operator="equal">
      <formula>"B"</formula>
    </cfRule>
    <cfRule type="cellIs" dxfId="958" priority="46" operator="equal">
      <formula>0</formula>
    </cfRule>
    <cfRule type="cellIs" dxfId="957" priority="47" operator="equal">
      <formula>"NB"</formula>
    </cfRule>
    <cfRule type="cellIs" dxfId="956" priority="48" operator="equal">
      <formula>"M"</formula>
    </cfRule>
  </conditionalFormatting>
  <conditionalFormatting sqref="S8:V8">
    <cfRule type="cellIs" dxfId="955" priority="41" operator="equal">
      <formula>0</formula>
    </cfRule>
    <cfRule type="cellIs" dxfId="954" priority="42" operator="equal">
      <formula>"B"</formula>
    </cfRule>
    <cfRule type="cellIs" dxfId="953" priority="43" operator="equal">
      <formula>"M"</formula>
    </cfRule>
    <cfRule type="cellIs" dxfId="952" priority="44" operator="equal">
      <formula>"NB"</formula>
    </cfRule>
  </conditionalFormatting>
  <conditionalFormatting sqref="W6:W7 W9:W22">
    <cfRule type="cellIs" dxfId="951" priority="37" operator="equal">
      <formula>"B"</formula>
    </cfRule>
    <cfRule type="cellIs" dxfId="950" priority="38" operator="equal">
      <formula>0</formula>
    </cfRule>
    <cfRule type="cellIs" dxfId="949" priority="39" operator="equal">
      <formula>"NB"</formula>
    </cfRule>
    <cfRule type="cellIs" dxfId="948" priority="40" operator="equal">
      <formula>"M"</formula>
    </cfRule>
  </conditionalFormatting>
  <conditionalFormatting sqref="W8">
    <cfRule type="cellIs" dxfId="947" priority="33" operator="equal">
      <formula>0</formula>
    </cfRule>
    <cfRule type="cellIs" dxfId="946" priority="34" operator="equal">
      <formula>"B"</formula>
    </cfRule>
    <cfRule type="cellIs" dxfId="945" priority="35" operator="equal">
      <formula>"M"</formula>
    </cfRule>
    <cfRule type="cellIs" dxfId="944" priority="36" operator="equal">
      <formula>"NB"</formula>
    </cfRule>
  </conditionalFormatting>
  <conditionalFormatting sqref="X27:X35">
    <cfRule type="cellIs" dxfId="943" priority="29" operator="equal">
      <formula>"B"</formula>
    </cfRule>
    <cfRule type="cellIs" dxfId="942" priority="30" operator="equal">
      <formula>0</formula>
    </cfRule>
    <cfRule type="cellIs" dxfId="941" priority="31" operator="equal">
      <formula>"NB"</formula>
    </cfRule>
    <cfRule type="cellIs" dxfId="940" priority="32" operator="equal">
      <formula>"M"</formula>
    </cfRule>
  </conditionalFormatting>
  <conditionalFormatting sqref="X23:X26">
    <cfRule type="cellIs" dxfId="939" priority="25" operator="equal">
      <formula>"B"</formula>
    </cfRule>
    <cfRule type="cellIs" dxfId="938" priority="26" operator="equal">
      <formula>0</formula>
    </cfRule>
    <cfRule type="cellIs" dxfId="937" priority="27" operator="equal">
      <formula>"NB"</formula>
    </cfRule>
    <cfRule type="cellIs" dxfId="936" priority="28" operator="equal">
      <formula>"M"</formula>
    </cfRule>
  </conditionalFormatting>
  <conditionalFormatting sqref="X6:X7 X9:X22">
    <cfRule type="cellIs" dxfId="935" priority="21" operator="equal">
      <formula>"B"</formula>
    </cfRule>
    <cfRule type="cellIs" dxfId="934" priority="22" operator="equal">
      <formula>0</formula>
    </cfRule>
    <cfRule type="cellIs" dxfId="933" priority="23" operator="equal">
      <formula>"NB"</formula>
    </cfRule>
    <cfRule type="cellIs" dxfId="932" priority="24" operator="equal">
      <formula>"M"</formula>
    </cfRule>
  </conditionalFormatting>
  <conditionalFormatting sqref="X8">
    <cfRule type="cellIs" dxfId="931" priority="17" operator="equal">
      <formula>0</formula>
    </cfRule>
    <cfRule type="cellIs" dxfId="930" priority="18" operator="equal">
      <formula>"B"</formula>
    </cfRule>
    <cfRule type="cellIs" dxfId="929" priority="19" operator="equal">
      <formula>"M"</formula>
    </cfRule>
    <cfRule type="cellIs" dxfId="928" priority="20" operator="equal">
      <formula>"NB"</formula>
    </cfRule>
  </conditionalFormatting>
  <conditionalFormatting sqref="Y27:AC35">
    <cfRule type="cellIs" dxfId="927" priority="13" operator="equal">
      <formula>"B"</formula>
    </cfRule>
    <cfRule type="cellIs" dxfId="926" priority="14" operator="equal">
      <formula>0</formula>
    </cfRule>
    <cfRule type="cellIs" dxfId="925" priority="15" operator="equal">
      <formula>"NB"</formula>
    </cfRule>
    <cfRule type="cellIs" dxfId="924" priority="16" operator="equal">
      <formula>"M"</formula>
    </cfRule>
  </conditionalFormatting>
  <conditionalFormatting sqref="Y23:AA26 AB25:AD26">
    <cfRule type="cellIs" dxfId="923" priority="9" operator="equal">
      <formula>"B"</formula>
    </cfRule>
    <cfRule type="cellIs" dxfId="922" priority="10" operator="equal">
      <formula>0</formula>
    </cfRule>
    <cfRule type="cellIs" dxfId="921" priority="11" operator="equal">
      <formula>"NB"</formula>
    </cfRule>
    <cfRule type="cellIs" dxfId="920" priority="12" operator="equal">
      <formula>"M"</formula>
    </cfRule>
  </conditionalFormatting>
  <conditionalFormatting sqref="Y6:AA7 Y9:AA22 AB9:AC21">
    <cfRule type="cellIs" dxfId="919" priority="5" operator="equal">
      <formula>"B"</formula>
    </cfRule>
    <cfRule type="cellIs" dxfId="918" priority="6" operator="equal">
      <formula>0</formula>
    </cfRule>
    <cfRule type="cellIs" dxfId="917" priority="7" operator="equal">
      <formula>"NB"</formula>
    </cfRule>
    <cfRule type="cellIs" dxfId="916" priority="8" operator="equal">
      <formula>"M"</formula>
    </cfRule>
  </conditionalFormatting>
  <conditionalFormatting sqref="Y8:AA8">
    <cfRule type="cellIs" dxfId="915" priority="1" operator="equal">
      <formula>0</formula>
    </cfRule>
    <cfRule type="cellIs" dxfId="914" priority="2" operator="equal">
      <formula>"B"</formula>
    </cfRule>
    <cfRule type="cellIs" dxfId="913" priority="3" operator="equal">
      <formula>"M"</formula>
    </cfRule>
    <cfRule type="cellIs" dxfId="912" priority="4" operator="equal">
      <formula>"NB"</formula>
    </cfRule>
  </conditionalFormatting>
  <pageMargins left="0.75" right="0.75" top="1" bottom="1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R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4" width="5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91</v>
      </c>
    </row>
    <row r="3" spans="1:44" ht="23.25" x14ac:dyDescent="0.35">
      <c r="A3" s="1" t="s">
        <v>2</v>
      </c>
      <c r="P3" s="4" t="s">
        <v>110</v>
      </c>
    </row>
    <row r="4" spans="1:44" s="5" customFormat="1" ht="15.75" customHeight="1" thickBot="1" x14ac:dyDescent="0.3">
      <c r="C4" s="6"/>
      <c r="E4" s="5" t="s">
        <v>3</v>
      </c>
      <c r="F4" s="6" t="s">
        <v>3</v>
      </c>
      <c r="L4" s="5" t="s">
        <v>3</v>
      </c>
      <c r="M4" s="6" t="s">
        <v>3</v>
      </c>
      <c r="S4" s="5" t="s">
        <v>3</v>
      </c>
      <c r="T4" s="5" t="s">
        <v>3</v>
      </c>
      <c r="Z4" s="5" t="s">
        <v>3</v>
      </c>
      <c r="AA4" s="5" t="s">
        <v>3</v>
      </c>
      <c r="AG4" s="5" t="s">
        <v>3</v>
      </c>
      <c r="AH4" s="5" t="s">
        <v>3</v>
      </c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0">
        <v>31</v>
      </c>
      <c r="AI5" s="11" t="s">
        <v>6</v>
      </c>
      <c r="AJ5"/>
      <c r="AK5"/>
      <c r="AL5"/>
      <c r="AM5"/>
      <c r="AN5"/>
      <c r="AO5"/>
      <c r="AP5"/>
      <c r="AQ5"/>
      <c r="AR5"/>
    </row>
    <row r="6" spans="1:44" ht="15.75" customHeight="1" x14ac:dyDescent="0.25">
      <c r="A6" s="156" t="s">
        <v>7</v>
      </c>
      <c r="B6" s="157"/>
      <c r="C6" s="158"/>
      <c r="D6" s="72" t="s">
        <v>12</v>
      </c>
      <c r="E6" s="72" t="s">
        <v>12</v>
      </c>
      <c r="F6" s="72" t="s">
        <v>12</v>
      </c>
      <c r="G6" s="72" t="s">
        <v>12</v>
      </c>
      <c r="H6" s="72" t="s">
        <v>8</v>
      </c>
      <c r="I6" s="72" t="s">
        <v>8</v>
      </c>
      <c r="J6" s="72" t="s">
        <v>8</v>
      </c>
      <c r="K6" s="72" t="s">
        <v>8</v>
      </c>
      <c r="L6" s="72" t="s">
        <v>8</v>
      </c>
      <c r="M6" s="72" t="s">
        <v>8</v>
      </c>
      <c r="N6" s="72" t="s">
        <v>8</v>
      </c>
      <c r="O6" s="72" t="s">
        <v>8</v>
      </c>
      <c r="P6" s="72" t="s">
        <v>8</v>
      </c>
      <c r="Q6" s="72" t="s">
        <v>9</v>
      </c>
      <c r="R6" s="72" t="s">
        <v>9</v>
      </c>
      <c r="S6" s="72" t="s">
        <v>9</v>
      </c>
      <c r="T6" s="72" t="s">
        <v>8</v>
      </c>
      <c r="U6" s="72" t="s">
        <v>8</v>
      </c>
      <c r="V6" s="72" t="s">
        <v>8</v>
      </c>
      <c r="W6" s="72" t="s">
        <v>8</v>
      </c>
      <c r="X6" s="72" t="s">
        <v>8</v>
      </c>
      <c r="Y6" s="72" t="s">
        <v>8</v>
      </c>
      <c r="Z6" s="72" t="s">
        <v>8</v>
      </c>
      <c r="AA6" s="72" t="s">
        <v>8</v>
      </c>
      <c r="AB6" s="72" t="s">
        <v>8</v>
      </c>
      <c r="AC6" s="72" t="s">
        <v>8</v>
      </c>
      <c r="AD6" s="72" t="s">
        <v>8</v>
      </c>
      <c r="AE6" s="72" t="s">
        <v>9</v>
      </c>
      <c r="AF6" s="72" t="s">
        <v>9</v>
      </c>
      <c r="AG6" s="72" t="s">
        <v>8</v>
      </c>
      <c r="AH6" s="72" t="s">
        <v>8</v>
      </c>
      <c r="AI6" s="13">
        <f>IF(COUNTA(D6:AH6)&gt;0,(COUNTA(D6:AH6)-COUNTIF(D6:AH6,"NB")-COUNTIF(D6:AH6,"DN")-COUNTIF(D6:AH6,"An")-COUNTIF(D6:AH6,"NB^")-COUNTIF(D6:AH6,0))/COUNTA(D6:AH6),"")</f>
        <v>0.87096774193548387</v>
      </c>
    </row>
    <row r="7" spans="1:44" ht="15.75" customHeight="1" x14ac:dyDescent="0.25">
      <c r="A7" s="180" t="s">
        <v>10</v>
      </c>
      <c r="B7" s="181"/>
      <c r="C7" s="182"/>
      <c r="D7" s="14" t="s">
        <v>12</v>
      </c>
      <c r="E7" s="14" t="s">
        <v>12</v>
      </c>
      <c r="F7" s="14" t="s">
        <v>12</v>
      </c>
      <c r="G7" s="14" t="s">
        <v>12</v>
      </c>
      <c r="H7" s="14" t="s">
        <v>11</v>
      </c>
      <c r="I7" s="14" t="s">
        <v>11</v>
      </c>
      <c r="J7" s="14" t="s">
        <v>11</v>
      </c>
      <c r="K7" s="14" t="s">
        <v>11</v>
      </c>
      <c r="L7" s="14" t="s">
        <v>11</v>
      </c>
      <c r="M7" s="14" t="s">
        <v>11</v>
      </c>
      <c r="N7" s="73" t="s">
        <v>11</v>
      </c>
      <c r="O7" s="73" t="s">
        <v>11</v>
      </c>
      <c r="P7" s="73" t="s">
        <v>11</v>
      </c>
      <c r="Q7" s="73" t="s">
        <v>11</v>
      </c>
      <c r="R7" s="73" t="s">
        <v>11</v>
      </c>
      <c r="S7" s="73" t="s">
        <v>11</v>
      </c>
      <c r="T7" s="14" t="s">
        <v>11</v>
      </c>
      <c r="U7" s="14" t="s">
        <v>11</v>
      </c>
      <c r="V7" s="14" t="s">
        <v>11</v>
      </c>
      <c r="W7" s="14" t="s">
        <v>11</v>
      </c>
      <c r="X7" s="14" t="s">
        <v>11</v>
      </c>
      <c r="Y7" s="14" t="s">
        <v>11</v>
      </c>
      <c r="Z7" s="14" t="s">
        <v>11</v>
      </c>
      <c r="AA7" s="14" t="s">
        <v>11</v>
      </c>
      <c r="AB7" s="14" t="s">
        <v>11</v>
      </c>
      <c r="AC7" s="14" t="s">
        <v>11</v>
      </c>
      <c r="AD7" s="14" t="s">
        <v>11</v>
      </c>
      <c r="AE7" s="14" t="s">
        <v>11</v>
      </c>
      <c r="AF7" s="14" t="s">
        <v>11</v>
      </c>
      <c r="AG7" s="14" t="s">
        <v>11</v>
      </c>
      <c r="AH7" s="14" t="s">
        <v>11</v>
      </c>
      <c r="AI7" s="17">
        <f t="shared" ref="AI7:AI35" si="0">IF(COUNTA(D7:AH7)&gt;0,(COUNTA(D7:AH7)-COUNTIF(D7:AH7,"NB")-COUNTIF(D7:AH7,"DN")-COUNTIF(D7:AH7,"An")-COUNTIF(D7:AH7,"NB^")-COUNTIF(D7:AH7,0))/COUNTA(D7:AH7),"")</f>
        <v>0.87096774193548387</v>
      </c>
    </row>
    <row r="8" spans="1:44" ht="15.75" customHeight="1" x14ac:dyDescent="0.25">
      <c r="A8" s="162" t="s">
        <v>94</v>
      </c>
      <c r="B8" s="163"/>
      <c r="C8" s="164"/>
      <c r="D8" s="18" t="s">
        <v>12</v>
      </c>
      <c r="E8" s="18" t="s">
        <v>12</v>
      </c>
      <c r="F8" s="18" t="s">
        <v>12</v>
      </c>
      <c r="G8" s="18" t="s">
        <v>12</v>
      </c>
      <c r="H8" s="18" t="s">
        <v>12</v>
      </c>
      <c r="I8" s="18" t="s">
        <v>12</v>
      </c>
      <c r="J8" s="18" t="s">
        <v>12</v>
      </c>
      <c r="K8" s="18" t="s">
        <v>12</v>
      </c>
      <c r="L8" s="18" t="s">
        <v>12</v>
      </c>
      <c r="M8" s="18" t="s">
        <v>12</v>
      </c>
      <c r="N8" s="18" t="s">
        <v>12</v>
      </c>
      <c r="O8" s="18" t="s">
        <v>12</v>
      </c>
      <c r="P8" s="18" t="s">
        <v>12</v>
      </c>
      <c r="Q8" s="18" t="s">
        <v>12</v>
      </c>
      <c r="R8" s="18" t="s">
        <v>12</v>
      </c>
      <c r="S8" s="18" t="s">
        <v>12</v>
      </c>
      <c r="T8" s="18" t="s">
        <v>12</v>
      </c>
      <c r="U8" s="18" t="s">
        <v>12</v>
      </c>
      <c r="V8" s="18" t="s">
        <v>12</v>
      </c>
      <c r="W8" s="18" t="s">
        <v>12</v>
      </c>
      <c r="X8" s="18" t="s">
        <v>12</v>
      </c>
      <c r="Y8" s="18" t="s">
        <v>12</v>
      </c>
      <c r="Z8" s="18" t="s">
        <v>12</v>
      </c>
      <c r="AA8" s="18" t="s">
        <v>12</v>
      </c>
      <c r="AB8" s="18" t="s">
        <v>12</v>
      </c>
      <c r="AC8" s="18" t="s">
        <v>11</v>
      </c>
      <c r="AD8" s="18" t="s">
        <v>11</v>
      </c>
      <c r="AE8" s="18" t="s">
        <v>11</v>
      </c>
      <c r="AF8" s="18" t="s">
        <v>11</v>
      </c>
      <c r="AG8" s="18" t="s">
        <v>11</v>
      </c>
      <c r="AH8" s="18" t="s">
        <v>11</v>
      </c>
      <c r="AI8" s="19">
        <f t="shared" si="0"/>
        <v>0.19354838709677419</v>
      </c>
    </row>
    <row r="9" spans="1:44" ht="15.75" customHeight="1" x14ac:dyDescent="0.25">
      <c r="A9" s="174" t="s">
        <v>13</v>
      </c>
      <c r="B9" s="175"/>
      <c r="C9" s="176"/>
      <c r="D9" s="79" t="s">
        <v>12</v>
      </c>
      <c r="E9" s="79" t="s">
        <v>12</v>
      </c>
      <c r="F9" s="79" t="s">
        <v>12</v>
      </c>
      <c r="G9" s="79" t="s">
        <v>12</v>
      </c>
      <c r="H9" s="79" t="s">
        <v>12</v>
      </c>
      <c r="I9" s="79" t="s">
        <v>11</v>
      </c>
      <c r="J9" s="79" t="s">
        <v>11</v>
      </c>
      <c r="K9" s="79" t="s">
        <v>11</v>
      </c>
      <c r="L9" s="79" t="s">
        <v>11</v>
      </c>
      <c r="M9" s="20" t="s">
        <v>12</v>
      </c>
      <c r="N9" s="20" t="s">
        <v>12</v>
      </c>
      <c r="O9" s="20" t="s">
        <v>12</v>
      </c>
      <c r="P9" s="20" t="s">
        <v>12</v>
      </c>
      <c r="Q9" s="20" t="s">
        <v>12</v>
      </c>
      <c r="R9" s="20" t="s">
        <v>12</v>
      </c>
      <c r="S9" s="20" t="s">
        <v>11</v>
      </c>
      <c r="T9" s="79" t="s">
        <v>11</v>
      </c>
      <c r="U9" s="20" t="s">
        <v>11</v>
      </c>
      <c r="V9" s="20" t="s">
        <v>11</v>
      </c>
      <c r="W9" s="20" t="s">
        <v>11</v>
      </c>
      <c r="X9" s="20" t="s">
        <v>11</v>
      </c>
      <c r="Y9" s="20" t="s">
        <v>11</v>
      </c>
      <c r="Z9" s="20" t="s">
        <v>11</v>
      </c>
      <c r="AA9" s="20" t="s">
        <v>11</v>
      </c>
      <c r="AB9" s="20" t="s">
        <v>11</v>
      </c>
      <c r="AC9" s="20" t="s">
        <v>11</v>
      </c>
      <c r="AD9" s="20" t="s">
        <v>11</v>
      </c>
      <c r="AE9" s="20" t="s">
        <v>11</v>
      </c>
      <c r="AF9" s="20" t="s">
        <v>11</v>
      </c>
      <c r="AG9" s="20" t="s">
        <v>11</v>
      </c>
      <c r="AH9" s="20" t="s">
        <v>11</v>
      </c>
      <c r="AI9" s="13">
        <f t="shared" si="0"/>
        <v>0.64516129032258063</v>
      </c>
    </row>
    <row r="10" spans="1:44" ht="15.75" customHeight="1" x14ac:dyDescent="0.25">
      <c r="A10" s="177" t="s">
        <v>14</v>
      </c>
      <c r="B10" s="178"/>
      <c r="C10" s="179"/>
      <c r="D10" s="80" t="s">
        <v>12</v>
      </c>
      <c r="E10" s="80" t="s">
        <v>12</v>
      </c>
      <c r="F10" s="80" t="s">
        <v>12</v>
      </c>
      <c r="G10" s="80" t="s">
        <v>12</v>
      </c>
      <c r="H10" s="80" t="s">
        <v>12</v>
      </c>
      <c r="I10" s="80" t="s">
        <v>11</v>
      </c>
      <c r="J10" s="80" t="s">
        <v>11</v>
      </c>
      <c r="K10" s="80" t="s">
        <v>11</v>
      </c>
      <c r="L10" s="80" t="s">
        <v>11</v>
      </c>
      <c r="M10" s="16" t="s">
        <v>12</v>
      </c>
      <c r="N10" s="16" t="s">
        <v>12</v>
      </c>
      <c r="O10" s="16" t="s">
        <v>12</v>
      </c>
      <c r="P10" s="16" t="s">
        <v>12</v>
      </c>
      <c r="Q10" s="16" t="s">
        <v>12</v>
      </c>
      <c r="R10" s="16" t="s">
        <v>12</v>
      </c>
      <c r="S10" s="16" t="s">
        <v>11</v>
      </c>
      <c r="T10" s="80" t="s">
        <v>11</v>
      </c>
      <c r="U10" s="16" t="s">
        <v>11</v>
      </c>
      <c r="V10" s="16" t="s">
        <v>11</v>
      </c>
      <c r="W10" s="16" t="s">
        <v>11</v>
      </c>
      <c r="X10" s="16" t="s">
        <v>11</v>
      </c>
      <c r="Y10" s="16" t="s">
        <v>11</v>
      </c>
      <c r="Z10" s="16" t="s">
        <v>11</v>
      </c>
      <c r="AA10" s="16" t="s">
        <v>11</v>
      </c>
      <c r="AB10" s="16" t="s">
        <v>11</v>
      </c>
      <c r="AC10" s="16" t="s">
        <v>11</v>
      </c>
      <c r="AD10" s="16" t="s">
        <v>11</v>
      </c>
      <c r="AE10" s="16" t="s">
        <v>11</v>
      </c>
      <c r="AF10" s="16" t="s">
        <v>11</v>
      </c>
      <c r="AG10" s="16" t="s">
        <v>11</v>
      </c>
      <c r="AH10" s="16" t="s">
        <v>11</v>
      </c>
      <c r="AI10" s="21">
        <f t="shared" si="0"/>
        <v>0.64516129032258063</v>
      </c>
    </row>
    <row r="11" spans="1:44" ht="15.75" customHeight="1" x14ac:dyDescent="0.25">
      <c r="A11" s="177" t="s">
        <v>15</v>
      </c>
      <c r="B11" s="178"/>
      <c r="C11" s="179"/>
      <c r="D11" s="80" t="s">
        <v>12</v>
      </c>
      <c r="E11" s="80" t="s">
        <v>12</v>
      </c>
      <c r="F11" s="80" t="s">
        <v>12</v>
      </c>
      <c r="G11" s="80" t="s">
        <v>12</v>
      </c>
      <c r="H11" s="80" t="s">
        <v>12</v>
      </c>
      <c r="I11" s="80" t="s">
        <v>11</v>
      </c>
      <c r="J11" s="80" t="s">
        <v>11</v>
      </c>
      <c r="K11" s="80" t="s">
        <v>11</v>
      </c>
      <c r="L11" s="80" t="s">
        <v>11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11</v>
      </c>
      <c r="T11" s="80" t="s">
        <v>11</v>
      </c>
      <c r="U11" s="16" t="s">
        <v>11</v>
      </c>
      <c r="V11" s="16" t="s">
        <v>11</v>
      </c>
      <c r="W11" s="16" t="s">
        <v>11</v>
      </c>
      <c r="X11" s="16" t="s">
        <v>11</v>
      </c>
      <c r="Y11" s="16" t="s">
        <v>11</v>
      </c>
      <c r="Z11" s="16" t="s">
        <v>11</v>
      </c>
      <c r="AA11" s="16" t="s">
        <v>11</v>
      </c>
      <c r="AB11" s="16" t="s">
        <v>11</v>
      </c>
      <c r="AC11" s="16" t="s">
        <v>11</v>
      </c>
      <c r="AD11" s="16" t="s">
        <v>11</v>
      </c>
      <c r="AE11" s="16" t="s">
        <v>11</v>
      </c>
      <c r="AF11" s="16" t="s">
        <v>11</v>
      </c>
      <c r="AG11" s="16" t="s">
        <v>11</v>
      </c>
      <c r="AH11" s="16" t="s">
        <v>11</v>
      </c>
      <c r="AI11" s="21">
        <f t="shared" si="0"/>
        <v>0.64516129032258063</v>
      </c>
    </row>
    <row r="12" spans="1:44" ht="15.75" customHeight="1" x14ac:dyDescent="0.25">
      <c r="A12" s="177" t="s">
        <v>16</v>
      </c>
      <c r="B12" s="178"/>
      <c r="C12" s="179"/>
      <c r="D12" s="80" t="s">
        <v>12</v>
      </c>
      <c r="E12" s="80" t="s">
        <v>12</v>
      </c>
      <c r="F12" s="80" t="s">
        <v>12</v>
      </c>
      <c r="G12" s="80" t="s">
        <v>12</v>
      </c>
      <c r="H12" s="80" t="s">
        <v>12</v>
      </c>
      <c r="I12" s="80" t="s">
        <v>11</v>
      </c>
      <c r="J12" s="80" t="s">
        <v>11</v>
      </c>
      <c r="K12" s="80" t="s">
        <v>11</v>
      </c>
      <c r="L12" s="80" t="s">
        <v>11</v>
      </c>
      <c r="M12" s="16" t="s">
        <v>12</v>
      </c>
      <c r="N12" s="16" t="s">
        <v>12</v>
      </c>
      <c r="O12" s="16" t="s">
        <v>12</v>
      </c>
      <c r="P12" s="16" t="s">
        <v>12</v>
      </c>
      <c r="Q12" s="16" t="s">
        <v>12</v>
      </c>
      <c r="R12" s="16" t="s">
        <v>12</v>
      </c>
      <c r="S12" s="16" t="s">
        <v>11</v>
      </c>
      <c r="T12" s="80" t="s">
        <v>11</v>
      </c>
      <c r="U12" s="16" t="s">
        <v>11</v>
      </c>
      <c r="V12" s="16" t="s">
        <v>11</v>
      </c>
      <c r="W12" s="16" t="s">
        <v>11</v>
      </c>
      <c r="X12" s="16" t="s">
        <v>11</v>
      </c>
      <c r="Y12" s="16" t="s">
        <v>11</v>
      </c>
      <c r="Z12" s="16" t="s">
        <v>11</v>
      </c>
      <c r="AA12" s="16" t="s">
        <v>11</v>
      </c>
      <c r="AB12" s="16" t="s">
        <v>11</v>
      </c>
      <c r="AC12" s="16" t="s">
        <v>11</v>
      </c>
      <c r="AD12" s="16" t="s">
        <v>11</v>
      </c>
      <c r="AE12" s="16" t="s">
        <v>11</v>
      </c>
      <c r="AF12" s="16" t="s">
        <v>11</v>
      </c>
      <c r="AG12" s="16" t="s">
        <v>11</v>
      </c>
      <c r="AH12" s="16" t="s">
        <v>11</v>
      </c>
      <c r="AI12" s="21">
        <f t="shared" si="0"/>
        <v>0.64516129032258063</v>
      </c>
    </row>
    <row r="13" spans="1:44" ht="15.75" customHeight="1" x14ac:dyDescent="0.25">
      <c r="A13" s="177" t="s">
        <v>17</v>
      </c>
      <c r="B13" s="178"/>
      <c r="C13" s="179"/>
      <c r="D13" s="80" t="s">
        <v>11</v>
      </c>
      <c r="E13" s="80" t="s">
        <v>12</v>
      </c>
      <c r="F13" s="80" t="s">
        <v>12</v>
      </c>
      <c r="G13" s="80" t="s">
        <v>12</v>
      </c>
      <c r="H13" s="80" t="s">
        <v>12</v>
      </c>
      <c r="I13" s="80" t="s">
        <v>11</v>
      </c>
      <c r="J13" s="80" t="s">
        <v>11</v>
      </c>
      <c r="K13" s="80" t="s">
        <v>11</v>
      </c>
      <c r="L13" s="80" t="s">
        <v>11</v>
      </c>
      <c r="M13" s="16" t="s">
        <v>12</v>
      </c>
      <c r="N13" s="16" t="s">
        <v>12</v>
      </c>
      <c r="O13" s="16" t="s">
        <v>12</v>
      </c>
      <c r="P13" s="16" t="s">
        <v>12</v>
      </c>
      <c r="Q13" s="16" t="s">
        <v>12</v>
      </c>
      <c r="R13" s="16" t="s">
        <v>12</v>
      </c>
      <c r="S13" s="16" t="s">
        <v>11</v>
      </c>
      <c r="T13" s="80" t="s">
        <v>11</v>
      </c>
      <c r="U13" s="16" t="s">
        <v>11</v>
      </c>
      <c r="V13" s="16" t="s">
        <v>11</v>
      </c>
      <c r="W13" s="16" t="s">
        <v>11</v>
      </c>
      <c r="X13" s="16" t="s">
        <v>11</v>
      </c>
      <c r="Y13" s="16" t="s">
        <v>11</v>
      </c>
      <c r="Z13" s="16" t="s">
        <v>11</v>
      </c>
      <c r="AA13" s="16" t="s">
        <v>11</v>
      </c>
      <c r="AB13" s="16" t="s">
        <v>11</v>
      </c>
      <c r="AC13" s="16" t="s">
        <v>11</v>
      </c>
      <c r="AD13" s="16" t="s">
        <v>11</v>
      </c>
      <c r="AE13" s="16" t="s">
        <v>11</v>
      </c>
      <c r="AF13" s="16" t="s">
        <v>11</v>
      </c>
      <c r="AG13" s="16" t="s">
        <v>11</v>
      </c>
      <c r="AH13" s="16" t="s">
        <v>11</v>
      </c>
      <c r="AI13" s="21">
        <f t="shared" si="0"/>
        <v>0.67741935483870963</v>
      </c>
    </row>
    <row r="14" spans="1:44" ht="15.75" customHeight="1" x14ac:dyDescent="0.25">
      <c r="A14" s="180" t="s">
        <v>18</v>
      </c>
      <c r="B14" s="181"/>
      <c r="C14" s="182"/>
      <c r="D14" s="73" t="s">
        <v>11</v>
      </c>
      <c r="E14" s="73" t="s">
        <v>12</v>
      </c>
      <c r="F14" s="73" t="s">
        <v>12</v>
      </c>
      <c r="G14" s="73" t="s">
        <v>12</v>
      </c>
      <c r="H14" s="73" t="s">
        <v>12</v>
      </c>
      <c r="I14" s="73" t="s">
        <v>11</v>
      </c>
      <c r="J14" s="73" t="s">
        <v>11</v>
      </c>
      <c r="K14" s="73" t="s">
        <v>11</v>
      </c>
      <c r="L14" s="73" t="s">
        <v>11</v>
      </c>
      <c r="M14" s="16" t="s">
        <v>12</v>
      </c>
      <c r="N14" s="16" t="s">
        <v>12</v>
      </c>
      <c r="O14" s="16" t="s">
        <v>12</v>
      </c>
      <c r="P14" s="16" t="s">
        <v>12</v>
      </c>
      <c r="Q14" s="16" t="s">
        <v>12</v>
      </c>
      <c r="R14" s="16" t="s">
        <v>12</v>
      </c>
      <c r="S14" s="16" t="s">
        <v>11</v>
      </c>
      <c r="T14" s="73" t="s">
        <v>11</v>
      </c>
      <c r="U14" s="16" t="s">
        <v>11</v>
      </c>
      <c r="V14" s="16" t="s">
        <v>11</v>
      </c>
      <c r="W14" s="16" t="s">
        <v>11</v>
      </c>
      <c r="X14" s="16" t="s">
        <v>11</v>
      </c>
      <c r="Y14" s="16" t="s">
        <v>11</v>
      </c>
      <c r="Z14" s="16" t="s">
        <v>11</v>
      </c>
      <c r="AA14" s="16" t="s">
        <v>11</v>
      </c>
      <c r="AB14" s="16" t="s">
        <v>11</v>
      </c>
      <c r="AC14" s="16" t="s">
        <v>11</v>
      </c>
      <c r="AD14" s="16" t="s">
        <v>11</v>
      </c>
      <c r="AE14" s="16" t="s">
        <v>11</v>
      </c>
      <c r="AF14" s="16" t="s">
        <v>11</v>
      </c>
      <c r="AG14" s="16" t="s">
        <v>11</v>
      </c>
      <c r="AH14" s="16" t="s">
        <v>11</v>
      </c>
      <c r="AI14" s="17">
        <f t="shared" si="0"/>
        <v>0.67741935483870963</v>
      </c>
    </row>
    <row r="15" spans="1:44" ht="15.75" customHeight="1" x14ac:dyDescent="0.25">
      <c r="A15" s="174" t="s">
        <v>19</v>
      </c>
      <c r="B15" s="175"/>
      <c r="C15" s="176"/>
      <c r="D15" s="20" t="s">
        <v>12</v>
      </c>
      <c r="E15" s="20" t="s">
        <v>12</v>
      </c>
      <c r="F15" s="20" t="s">
        <v>12</v>
      </c>
      <c r="G15" s="20" t="s">
        <v>12</v>
      </c>
      <c r="H15" s="20" t="s">
        <v>12</v>
      </c>
      <c r="I15" s="20" t="s">
        <v>12</v>
      </c>
      <c r="J15" s="20" t="s">
        <v>12</v>
      </c>
      <c r="K15" s="20" t="s">
        <v>12</v>
      </c>
      <c r="L15" s="20" t="s">
        <v>12</v>
      </c>
      <c r="M15" s="20" t="s">
        <v>12</v>
      </c>
      <c r="N15" s="20" t="s">
        <v>12</v>
      </c>
      <c r="O15" s="20" t="s">
        <v>12</v>
      </c>
      <c r="P15" s="20" t="s">
        <v>12</v>
      </c>
      <c r="Q15" s="20" t="s">
        <v>12</v>
      </c>
      <c r="R15" s="20" t="s">
        <v>12</v>
      </c>
      <c r="S15" s="20" t="s">
        <v>12</v>
      </c>
      <c r="T15" s="20" t="s">
        <v>12</v>
      </c>
      <c r="U15" s="20" t="s">
        <v>12</v>
      </c>
      <c r="V15" s="20" t="s">
        <v>12</v>
      </c>
      <c r="W15" s="20" t="s">
        <v>12</v>
      </c>
      <c r="X15" s="20" t="s">
        <v>12</v>
      </c>
      <c r="Y15" s="20" t="s">
        <v>12</v>
      </c>
      <c r="Z15" s="20" t="s">
        <v>12</v>
      </c>
      <c r="AA15" s="20" t="s">
        <v>12</v>
      </c>
      <c r="AB15" s="20" t="s">
        <v>12</v>
      </c>
      <c r="AC15" s="20" t="s">
        <v>12</v>
      </c>
      <c r="AD15" s="20" t="s">
        <v>11</v>
      </c>
      <c r="AE15" s="20" t="s">
        <v>11</v>
      </c>
      <c r="AF15" s="20" t="s">
        <v>11</v>
      </c>
      <c r="AG15" s="20" t="s">
        <v>11</v>
      </c>
      <c r="AH15" s="20" t="s">
        <v>11</v>
      </c>
      <c r="AI15" s="13">
        <f t="shared" si="0"/>
        <v>0.16129032258064516</v>
      </c>
    </row>
    <row r="16" spans="1:44" ht="15.75" customHeight="1" x14ac:dyDescent="0.25">
      <c r="A16" s="177" t="s">
        <v>20</v>
      </c>
      <c r="B16" s="178"/>
      <c r="C16" s="179"/>
      <c r="D16" s="16" t="s">
        <v>12</v>
      </c>
      <c r="E16" s="16" t="s">
        <v>12</v>
      </c>
      <c r="F16" s="16" t="s">
        <v>12</v>
      </c>
      <c r="G16" s="16" t="s">
        <v>12</v>
      </c>
      <c r="H16" s="16" t="s">
        <v>12</v>
      </c>
      <c r="I16" s="16" t="s">
        <v>12</v>
      </c>
      <c r="J16" s="16" t="s">
        <v>12</v>
      </c>
      <c r="K16" s="16" t="s">
        <v>12</v>
      </c>
      <c r="L16" s="16" t="s">
        <v>12</v>
      </c>
      <c r="M16" s="16" t="s">
        <v>12</v>
      </c>
      <c r="N16" s="16" t="s">
        <v>12</v>
      </c>
      <c r="O16" s="16" t="s">
        <v>12</v>
      </c>
      <c r="P16" s="16" t="s">
        <v>12</v>
      </c>
      <c r="Q16" s="16" t="s">
        <v>12</v>
      </c>
      <c r="R16" s="16" t="s">
        <v>11</v>
      </c>
      <c r="S16" s="16" t="s">
        <v>12</v>
      </c>
      <c r="T16" s="16" t="s">
        <v>12</v>
      </c>
      <c r="U16" s="16" t="s">
        <v>12</v>
      </c>
      <c r="V16" s="16" t="s">
        <v>12</v>
      </c>
      <c r="W16" s="16" t="s">
        <v>12</v>
      </c>
      <c r="X16" s="16" t="s">
        <v>12</v>
      </c>
      <c r="Y16" s="16" t="s">
        <v>12</v>
      </c>
      <c r="Z16" s="16" t="s">
        <v>12</v>
      </c>
      <c r="AA16" s="16" t="s">
        <v>12</v>
      </c>
      <c r="AB16" s="16" t="s">
        <v>12</v>
      </c>
      <c r="AC16" s="16" t="s">
        <v>12</v>
      </c>
      <c r="AD16" s="16" t="s">
        <v>11</v>
      </c>
      <c r="AE16" s="16" t="s">
        <v>11</v>
      </c>
      <c r="AF16" s="16" t="s">
        <v>11</v>
      </c>
      <c r="AG16" s="16" t="s">
        <v>11</v>
      </c>
      <c r="AH16" s="16" t="s">
        <v>11</v>
      </c>
      <c r="AI16" s="21">
        <f t="shared" si="0"/>
        <v>0.19354838709677419</v>
      </c>
    </row>
    <row r="17" spans="1:35" ht="15.75" customHeight="1" x14ac:dyDescent="0.25">
      <c r="A17" s="180" t="s">
        <v>92</v>
      </c>
      <c r="B17" s="181"/>
      <c r="C17" s="182"/>
      <c r="D17" s="16" t="s">
        <v>12</v>
      </c>
      <c r="E17" s="16" t="s">
        <v>12</v>
      </c>
      <c r="F17" s="16" t="s">
        <v>12</v>
      </c>
      <c r="G17" s="16" t="s">
        <v>12</v>
      </c>
      <c r="H17" s="16" t="s">
        <v>12</v>
      </c>
      <c r="I17" s="16" t="s">
        <v>12</v>
      </c>
      <c r="J17" s="16" t="s">
        <v>12</v>
      </c>
      <c r="K17" s="16" t="s">
        <v>12</v>
      </c>
      <c r="L17" s="16" t="s">
        <v>12</v>
      </c>
      <c r="M17" s="16" t="s">
        <v>12</v>
      </c>
      <c r="N17" s="16" t="s">
        <v>12</v>
      </c>
      <c r="O17" s="16" t="s">
        <v>12</v>
      </c>
      <c r="P17" s="16" t="s">
        <v>12</v>
      </c>
      <c r="Q17" s="16" t="s">
        <v>12</v>
      </c>
      <c r="R17" s="16" t="s">
        <v>12</v>
      </c>
      <c r="S17" s="16" t="s">
        <v>12</v>
      </c>
      <c r="T17" s="16" t="s">
        <v>12</v>
      </c>
      <c r="U17" s="16" t="s">
        <v>12</v>
      </c>
      <c r="V17" s="16" t="s">
        <v>12</v>
      </c>
      <c r="W17" s="16" t="s">
        <v>12</v>
      </c>
      <c r="X17" s="16" t="s">
        <v>12</v>
      </c>
      <c r="Y17" s="16" t="s">
        <v>12</v>
      </c>
      <c r="Z17" s="16" t="s">
        <v>12</v>
      </c>
      <c r="AA17" s="16" t="s">
        <v>12</v>
      </c>
      <c r="AB17" s="16" t="s">
        <v>12</v>
      </c>
      <c r="AC17" s="16" t="s">
        <v>12</v>
      </c>
      <c r="AD17" s="16" t="s">
        <v>11</v>
      </c>
      <c r="AE17" s="16" t="s">
        <v>11</v>
      </c>
      <c r="AF17" s="16" t="s">
        <v>11</v>
      </c>
      <c r="AG17" s="16" t="s">
        <v>11</v>
      </c>
      <c r="AH17" s="16" t="s">
        <v>11</v>
      </c>
      <c r="AI17" s="17">
        <f t="shared" si="0"/>
        <v>0.16129032258064516</v>
      </c>
    </row>
    <row r="18" spans="1:35" ht="15.75" customHeight="1" x14ac:dyDescent="0.25">
      <c r="A18" s="174" t="s">
        <v>21</v>
      </c>
      <c r="B18" s="175"/>
      <c r="C18" s="176"/>
      <c r="D18" s="22" t="s">
        <v>22</v>
      </c>
      <c r="E18" s="22" t="s">
        <v>22</v>
      </c>
      <c r="F18" s="22" t="s">
        <v>22</v>
      </c>
      <c r="G18" s="22" t="s">
        <v>22</v>
      </c>
      <c r="H18" s="22" t="s">
        <v>11</v>
      </c>
      <c r="I18" s="22" t="s">
        <v>11</v>
      </c>
      <c r="J18" s="22" t="s">
        <v>11</v>
      </c>
      <c r="K18" s="22" t="s">
        <v>11</v>
      </c>
      <c r="L18" s="22" t="s">
        <v>11</v>
      </c>
      <c r="M18" s="22" t="s">
        <v>11</v>
      </c>
      <c r="N18" s="79" t="s">
        <v>11</v>
      </c>
      <c r="O18" s="79" t="s">
        <v>11</v>
      </c>
      <c r="P18" s="79" t="s">
        <v>11</v>
      </c>
      <c r="Q18" s="79" t="s">
        <v>11</v>
      </c>
      <c r="R18" s="79" t="s">
        <v>11</v>
      </c>
      <c r="S18" s="79" t="s">
        <v>11</v>
      </c>
      <c r="T18" s="22" t="s">
        <v>11</v>
      </c>
      <c r="U18" s="22" t="s">
        <v>11</v>
      </c>
      <c r="V18" s="22" t="s">
        <v>11</v>
      </c>
      <c r="W18" s="22" t="s">
        <v>11</v>
      </c>
      <c r="X18" s="22" t="s">
        <v>11</v>
      </c>
      <c r="Y18" s="22" t="s">
        <v>11</v>
      </c>
      <c r="Z18" s="22" t="s">
        <v>11</v>
      </c>
      <c r="AA18" s="22" t="s">
        <v>11</v>
      </c>
      <c r="AB18" s="22" t="s">
        <v>11</v>
      </c>
      <c r="AC18" s="22" t="s">
        <v>11</v>
      </c>
      <c r="AD18" s="22" t="s">
        <v>11</v>
      </c>
      <c r="AE18" s="22" t="s">
        <v>11</v>
      </c>
      <c r="AF18" s="22" t="s">
        <v>11</v>
      </c>
      <c r="AG18" s="22" t="s">
        <v>11</v>
      </c>
      <c r="AH18" s="22" t="s">
        <v>11</v>
      </c>
      <c r="AI18" s="13">
        <f t="shared" si="0"/>
        <v>1</v>
      </c>
    </row>
    <row r="19" spans="1:35" ht="15.75" customHeight="1" x14ac:dyDescent="0.25">
      <c r="A19" s="177" t="s">
        <v>23</v>
      </c>
      <c r="B19" s="178"/>
      <c r="C19" s="179"/>
      <c r="D19" s="23" t="s">
        <v>22</v>
      </c>
      <c r="E19" s="23" t="s">
        <v>22</v>
      </c>
      <c r="F19" s="23" t="s">
        <v>22</v>
      </c>
      <c r="G19" s="23" t="s">
        <v>22</v>
      </c>
      <c r="H19" s="23" t="s">
        <v>11</v>
      </c>
      <c r="I19" s="23" t="s">
        <v>11</v>
      </c>
      <c r="J19" s="23" t="s">
        <v>11</v>
      </c>
      <c r="K19" s="23" t="s">
        <v>11</v>
      </c>
      <c r="L19" s="23" t="s">
        <v>11</v>
      </c>
      <c r="M19" s="23" t="s">
        <v>11</v>
      </c>
      <c r="N19" s="80" t="s">
        <v>11</v>
      </c>
      <c r="O19" s="80" t="s">
        <v>11</v>
      </c>
      <c r="P19" s="80" t="s">
        <v>11</v>
      </c>
      <c r="Q19" s="80" t="s">
        <v>22</v>
      </c>
      <c r="R19" s="80" t="s">
        <v>22</v>
      </c>
      <c r="S19" s="80" t="s">
        <v>22</v>
      </c>
      <c r="T19" s="23" t="s">
        <v>11</v>
      </c>
      <c r="U19" s="23" t="s">
        <v>11</v>
      </c>
      <c r="V19" s="23" t="s">
        <v>11</v>
      </c>
      <c r="W19" s="23" t="s">
        <v>11</v>
      </c>
      <c r="X19" s="23" t="s">
        <v>11</v>
      </c>
      <c r="Y19" s="23" t="s">
        <v>11</v>
      </c>
      <c r="Z19" s="23" t="s">
        <v>11</v>
      </c>
      <c r="AA19" s="23" t="s">
        <v>11</v>
      </c>
      <c r="AB19" s="23" t="s">
        <v>11</v>
      </c>
      <c r="AC19" s="23" t="s">
        <v>11</v>
      </c>
      <c r="AD19" s="23" t="s">
        <v>11</v>
      </c>
      <c r="AE19" s="23" t="s">
        <v>11</v>
      </c>
      <c r="AF19" s="23" t="s">
        <v>11</v>
      </c>
      <c r="AG19" s="23" t="s">
        <v>11</v>
      </c>
      <c r="AH19" s="23" t="s">
        <v>11</v>
      </c>
      <c r="AI19" s="21">
        <f t="shared" si="0"/>
        <v>1</v>
      </c>
    </row>
    <row r="20" spans="1:35" ht="15.75" customHeight="1" x14ac:dyDescent="0.25">
      <c r="A20" s="177" t="s">
        <v>24</v>
      </c>
      <c r="B20" s="178"/>
      <c r="C20" s="179"/>
      <c r="D20" s="23" t="s">
        <v>22</v>
      </c>
      <c r="E20" s="23" t="s">
        <v>22</v>
      </c>
      <c r="F20" s="23" t="s">
        <v>22</v>
      </c>
      <c r="G20" s="23" t="s">
        <v>22</v>
      </c>
      <c r="H20" s="23" t="s">
        <v>11</v>
      </c>
      <c r="I20" s="23" t="s">
        <v>11</v>
      </c>
      <c r="J20" s="23" t="s">
        <v>11</v>
      </c>
      <c r="K20" s="23" t="s">
        <v>11</v>
      </c>
      <c r="L20" s="23" t="s">
        <v>11</v>
      </c>
      <c r="M20" s="23" t="s">
        <v>11</v>
      </c>
      <c r="N20" s="80" t="s">
        <v>11</v>
      </c>
      <c r="O20" s="80" t="s">
        <v>11</v>
      </c>
      <c r="P20" s="80" t="s">
        <v>22</v>
      </c>
      <c r="Q20" s="80" t="s">
        <v>11</v>
      </c>
      <c r="R20" s="80" t="s">
        <v>11</v>
      </c>
      <c r="S20" s="80" t="s">
        <v>11</v>
      </c>
      <c r="T20" s="23" t="s">
        <v>11</v>
      </c>
      <c r="U20" s="23" t="s">
        <v>11</v>
      </c>
      <c r="V20" s="23" t="s">
        <v>11</v>
      </c>
      <c r="W20" s="23" t="s">
        <v>11</v>
      </c>
      <c r="X20" s="23" t="s">
        <v>11</v>
      </c>
      <c r="Y20" s="23" t="s">
        <v>11</v>
      </c>
      <c r="Z20" s="23" t="s">
        <v>11</v>
      </c>
      <c r="AA20" s="23" t="s">
        <v>11</v>
      </c>
      <c r="AB20" s="23" t="s">
        <v>11</v>
      </c>
      <c r="AC20" s="23" t="s">
        <v>11</v>
      </c>
      <c r="AD20" s="23" t="s">
        <v>11</v>
      </c>
      <c r="AE20" s="23" t="s">
        <v>11</v>
      </c>
      <c r="AF20" s="23" t="s">
        <v>11</v>
      </c>
      <c r="AG20" s="23" t="s">
        <v>11</v>
      </c>
      <c r="AH20" s="23" t="s">
        <v>11</v>
      </c>
      <c r="AI20" s="21">
        <f t="shared" si="0"/>
        <v>1</v>
      </c>
    </row>
    <row r="21" spans="1:35" ht="15.75" customHeight="1" x14ac:dyDescent="0.25">
      <c r="A21" s="180" t="s">
        <v>25</v>
      </c>
      <c r="B21" s="181"/>
      <c r="C21" s="182"/>
      <c r="D21" s="14" t="s">
        <v>22</v>
      </c>
      <c r="E21" s="14" t="s">
        <v>22</v>
      </c>
      <c r="F21" s="14" t="s">
        <v>22</v>
      </c>
      <c r="G21" s="14" t="s">
        <v>22</v>
      </c>
      <c r="H21" s="14" t="s">
        <v>11</v>
      </c>
      <c r="I21" s="14" t="s">
        <v>11</v>
      </c>
      <c r="J21" s="14" t="s">
        <v>11</v>
      </c>
      <c r="K21" s="14" t="s">
        <v>11</v>
      </c>
      <c r="L21" s="14" t="s">
        <v>11</v>
      </c>
      <c r="M21" s="14" t="s">
        <v>11</v>
      </c>
      <c r="N21" s="73" t="s">
        <v>11</v>
      </c>
      <c r="O21" s="73" t="s">
        <v>11</v>
      </c>
      <c r="P21" s="73" t="s">
        <v>22</v>
      </c>
      <c r="Q21" s="73" t="s">
        <v>11</v>
      </c>
      <c r="R21" s="73" t="s">
        <v>11</v>
      </c>
      <c r="S21" s="73" t="s">
        <v>11</v>
      </c>
      <c r="T21" s="14" t="s">
        <v>11</v>
      </c>
      <c r="U21" s="14" t="s">
        <v>11</v>
      </c>
      <c r="V21" s="14" t="s">
        <v>11</v>
      </c>
      <c r="W21" s="14" t="s">
        <v>11</v>
      </c>
      <c r="X21" s="14" t="s">
        <v>11</v>
      </c>
      <c r="Y21" s="14" t="s">
        <v>11</v>
      </c>
      <c r="Z21" s="14" t="s">
        <v>11</v>
      </c>
      <c r="AA21" s="14" t="s">
        <v>11</v>
      </c>
      <c r="AB21" s="14" t="s">
        <v>11</v>
      </c>
      <c r="AC21" s="14" t="s">
        <v>11</v>
      </c>
      <c r="AD21" s="14" t="s">
        <v>11</v>
      </c>
      <c r="AE21" s="14" t="s">
        <v>11</v>
      </c>
      <c r="AF21" s="14" t="s">
        <v>11</v>
      </c>
      <c r="AG21" s="14" t="s">
        <v>11</v>
      </c>
      <c r="AH21" s="14" t="s">
        <v>11</v>
      </c>
      <c r="AI21" s="17">
        <f t="shared" si="0"/>
        <v>1</v>
      </c>
    </row>
    <row r="22" spans="1:35" ht="15.75" customHeight="1" x14ac:dyDescent="0.25">
      <c r="A22" s="162" t="s">
        <v>26</v>
      </c>
      <c r="B22" s="163"/>
      <c r="C22" s="164"/>
      <c r="D22" s="24" t="s">
        <v>11</v>
      </c>
      <c r="E22" s="24" t="s">
        <v>22</v>
      </c>
      <c r="F22" s="24" t="s">
        <v>22</v>
      </c>
      <c r="G22" s="24" t="s">
        <v>22</v>
      </c>
      <c r="H22" s="24" t="s">
        <v>11</v>
      </c>
      <c r="I22" s="24" t="s">
        <v>11</v>
      </c>
      <c r="J22" s="24" t="s">
        <v>11</v>
      </c>
      <c r="K22" s="24" t="s">
        <v>11</v>
      </c>
      <c r="L22" s="24" t="s">
        <v>11</v>
      </c>
      <c r="M22" s="24" t="s">
        <v>11</v>
      </c>
      <c r="N22" s="81" t="s">
        <v>11</v>
      </c>
      <c r="O22" s="81" t="s">
        <v>11</v>
      </c>
      <c r="P22" s="81" t="s">
        <v>11</v>
      </c>
      <c r="Q22" s="81" t="s">
        <v>11</v>
      </c>
      <c r="R22" s="81" t="s">
        <v>11</v>
      </c>
      <c r="S22" s="81" t="s">
        <v>11</v>
      </c>
      <c r="T22" s="24" t="s">
        <v>11</v>
      </c>
      <c r="U22" s="24" t="s">
        <v>11</v>
      </c>
      <c r="V22" s="24" t="s">
        <v>11</v>
      </c>
      <c r="W22" s="24" t="s">
        <v>11</v>
      </c>
      <c r="X22" s="24" t="s">
        <v>11</v>
      </c>
      <c r="Y22" s="24" t="s">
        <v>11</v>
      </c>
      <c r="Z22" s="24" t="s">
        <v>11</v>
      </c>
      <c r="AA22" s="24" t="s">
        <v>11</v>
      </c>
      <c r="AB22" s="24" t="s">
        <v>11</v>
      </c>
      <c r="AC22" s="24" t="s">
        <v>11</v>
      </c>
      <c r="AD22" s="24" t="s">
        <v>11</v>
      </c>
      <c r="AE22" s="24" t="s">
        <v>11</v>
      </c>
      <c r="AF22" s="24" t="s">
        <v>11</v>
      </c>
      <c r="AG22" s="24" t="s">
        <v>11</v>
      </c>
      <c r="AH22" s="24" t="s">
        <v>11</v>
      </c>
      <c r="AI22" s="19">
        <f t="shared" si="0"/>
        <v>1</v>
      </c>
    </row>
    <row r="23" spans="1:35" ht="15.75" customHeight="1" x14ac:dyDescent="0.25">
      <c r="A23" s="174" t="s">
        <v>27</v>
      </c>
      <c r="B23" s="175"/>
      <c r="C23" s="176"/>
      <c r="D23" s="79" t="s">
        <v>11</v>
      </c>
      <c r="E23" s="79" t="s">
        <v>12</v>
      </c>
      <c r="F23" s="79" t="s">
        <v>12</v>
      </c>
      <c r="G23" s="79" t="s">
        <v>12</v>
      </c>
      <c r="H23" s="79" t="s">
        <v>11</v>
      </c>
      <c r="I23" s="79" t="s">
        <v>11</v>
      </c>
      <c r="J23" s="79" t="s">
        <v>11</v>
      </c>
      <c r="K23" s="79" t="s">
        <v>11</v>
      </c>
      <c r="L23" s="79" t="s">
        <v>11</v>
      </c>
      <c r="M23" s="79" t="s">
        <v>11</v>
      </c>
      <c r="N23" s="79" t="s">
        <v>11</v>
      </c>
      <c r="O23" s="79" t="s">
        <v>11</v>
      </c>
      <c r="P23" s="79" t="s">
        <v>11</v>
      </c>
      <c r="Q23" s="79" t="s">
        <v>11</v>
      </c>
      <c r="R23" s="79" t="s">
        <v>11</v>
      </c>
      <c r="S23" s="79" t="s">
        <v>11</v>
      </c>
      <c r="T23" s="79" t="s">
        <v>11</v>
      </c>
      <c r="U23" s="79" t="s">
        <v>11</v>
      </c>
      <c r="V23" s="79" t="s">
        <v>11</v>
      </c>
      <c r="W23" s="79" t="s">
        <v>11</v>
      </c>
      <c r="X23" s="79" t="s">
        <v>11</v>
      </c>
      <c r="Y23" s="79" t="s">
        <v>11</v>
      </c>
      <c r="Z23" s="79" t="s">
        <v>11</v>
      </c>
      <c r="AA23" s="79" t="s">
        <v>11</v>
      </c>
      <c r="AB23" s="79" t="s">
        <v>11</v>
      </c>
      <c r="AC23" s="79" t="s">
        <v>11</v>
      </c>
      <c r="AD23" s="79" t="s">
        <v>11</v>
      </c>
      <c r="AE23" s="79" t="s">
        <v>11</v>
      </c>
      <c r="AF23" s="79" t="s">
        <v>11</v>
      </c>
      <c r="AG23" s="79" t="s">
        <v>11</v>
      </c>
      <c r="AH23" s="79" t="s">
        <v>11</v>
      </c>
      <c r="AI23" s="13">
        <f t="shared" si="0"/>
        <v>0.90322580645161288</v>
      </c>
    </row>
    <row r="24" spans="1:35" ht="15.75" customHeight="1" x14ac:dyDescent="0.25">
      <c r="A24" s="180" t="s">
        <v>28</v>
      </c>
      <c r="B24" s="181"/>
      <c r="C24" s="182"/>
      <c r="D24" s="73" t="s">
        <v>11</v>
      </c>
      <c r="E24" s="73" t="s">
        <v>12</v>
      </c>
      <c r="F24" s="73" t="s">
        <v>12</v>
      </c>
      <c r="G24" s="73" t="s">
        <v>12</v>
      </c>
      <c r="H24" s="73" t="s">
        <v>11</v>
      </c>
      <c r="I24" s="73" t="s">
        <v>11</v>
      </c>
      <c r="J24" s="73" t="s">
        <v>11</v>
      </c>
      <c r="K24" s="73" t="s">
        <v>11</v>
      </c>
      <c r="L24" s="73" t="s">
        <v>11</v>
      </c>
      <c r="M24" s="73" t="s">
        <v>11</v>
      </c>
      <c r="N24" s="73" t="s">
        <v>11</v>
      </c>
      <c r="O24" s="73" t="s">
        <v>11</v>
      </c>
      <c r="P24" s="73" t="s">
        <v>11</v>
      </c>
      <c r="Q24" s="73" t="s">
        <v>11</v>
      </c>
      <c r="R24" s="73" t="s">
        <v>12</v>
      </c>
      <c r="S24" s="73" t="s">
        <v>12</v>
      </c>
      <c r="T24" s="73" t="s">
        <v>11</v>
      </c>
      <c r="U24" s="73" t="s">
        <v>11</v>
      </c>
      <c r="V24" s="73" t="s">
        <v>11</v>
      </c>
      <c r="W24" s="73" t="s">
        <v>11</v>
      </c>
      <c r="X24" s="73" t="s">
        <v>11</v>
      </c>
      <c r="Y24" s="73" t="s">
        <v>11</v>
      </c>
      <c r="Z24" s="73" t="s">
        <v>11</v>
      </c>
      <c r="AA24" s="73" t="s">
        <v>11</v>
      </c>
      <c r="AB24" s="73" t="s">
        <v>11</v>
      </c>
      <c r="AC24" s="73" t="s">
        <v>11</v>
      </c>
      <c r="AD24" s="73" t="s">
        <v>12</v>
      </c>
      <c r="AE24" s="73" t="s">
        <v>12</v>
      </c>
      <c r="AF24" s="73" t="s">
        <v>11</v>
      </c>
      <c r="AG24" s="73" t="s">
        <v>11</v>
      </c>
      <c r="AH24" s="73" t="s">
        <v>11</v>
      </c>
      <c r="AI24" s="17">
        <f t="shared" si="0"/>
        <v>0.77419354838709675</v>
      </c>
    </row>
    <row r="25" spans="1:35" ht="15.75" customHeight="1" x14ac:dyDescent="0.25">
      <c r="A25" s="162" t="s">
        <v>29</v>
      </c>
      <c r="B25" s="163"/>
      <c r="C25" s="164"/>
      <c r="D25" s="26" t="s">
        <v>22</v>
      </c>
      <c r="E25" s="26" t="s">
        <v>22</v>
      </c>
      <c r="F25" s="26" t="s">
        <v>22</v>
      </c>
      <c r="G25" s="26" t="s">
        <v>22</v>
      </c>
      <c r="H25" s="26" t="s">
        <v>11</v>
      </c>
      <c r="I25" s="26" t="s">
        <v>11</v>
      </c>
      <c r="J25" s="26" t="s">
        <v>11</v>
      </c>
      <c r="K25" s="26" t="s">
        <v>11</v>
      </c>
      <c r="L25" s="26" t="s">
        <v>11</v>
      </c>
      <c r="M25" s="26" t="s">
        <v>11</v>
      </c>
      <c r="N25" s="26" t="s">
        <v>11</v>
      </c>
      <c r="O25" s="26" t="s">
        <v>11</v>
      </c>
      <c r="P25" s="26" t="s">
        <v>11</v>
      </c>
      <c r="Q25" s="26" t="s">
        <v>11</v>
      </c>
      <c r="R25" s="26" t="s">
        <v>11</v>
      </c>
      <c r="S25" s="26" t="s">
        <v>11</v>
      </c>
      <c r="T25" s="26" t="s">
        <v>11</v>
      </c>
      <c r="U25" s="26" t="s">
        <v>11</v>
      </c>
      <c r="V25" s="26" t="s">
        <v>11</v>
      </c>
      <c r="W25" s="26" t="s">
        <v>11</v>
      </c>
      <c r="X25" s="26" t="s">
        <v>11</v>
      </c>
      <c r="Y25" s="26" t="s">
        <v>11</v>
      </c>
      <c r="Z25" s="26" t="s">
        <v>11</v>
      </c>
      <c r="AA25" s="26" t="s">
        <v>11</v>
      </c>
      <c r="AB25" s="26" t="s">
        <v>11</v>
      </c>
      <c r="AC25" s="26" t="s">
        <v>11</v>
      </c>
      <c r="AD25" s="26" t="s">
        <v>11</v>
      </c>
      <c r="AE25" s="26" t="s">
        <v>11</v>
      </c>
      <c r="AF25" s="26" t="s">
        <v>11</v>
      </c>
      <c r="AG25" s="26" t="s">
        <v>11</v>
      </c>
      <c r="AH25" s="26" t="s">
        <v>11</v>
      </c>
      <c r="AI25" s="19">
        <f t="shared" si="0"/>
        <v>1</v>
      </c>
    </row>
    <row r="26" spans="1:35" ht="15.75" customHeight="1" x14ac:dyDescent="0.25">
      <c r="A26" s="162" t="s">
        <v>30</v>
      </c>
      <c r="B26" s="163"/>
      <c r="C26" s="164"/>
      <c r="D26" s="81" t="s">
        <v>22</v>
      </c>
      <c r="E26" s="81" t="s">
        <v>22</v>
      </c>
      <c r="F26" s="81" t="s">
        <v>22</v>
      </c>
      <c r="G26" s="81" t="s">
        <v>22</v>
      </c>
      <c r="H26" s="81" t="s">
        <v>11</v>
      </c>
      <c r="I26" s="81" t="s">
        <v>11</v>
      </c>
      <c r="J26" s="81" t="s">
        <v>11</v>
      </c>
      <c r="K26" s="81" t="s">
        <v>11</v>
      </c>
      <c r="L26" s="81" t="s">
        <v>11</v>
      </c>
      <c r="M26" s="81" t="s">
        <v>11</v>
      </c>
      <c r="N26" s="81" t="s">
        <v>11</v>
      </c>
      <c r="O26" s="81" t="s">
        <v>11</v>
      </c>
      <c r="P26" s="81" t="s">
        <v>11</v>
      </c>
      <c r="Q26" s="81" t="s">
        <v>11</v>
      </c>
      <c r="R26" s="81" t="s">
        <v>11</v>
      </c>
      <c r="S26" s="81" t="s">
        <v>11</v>
      </c>
      <c r="T26" s="81" t="s">
        <v>11</v>
      </c>
      <c r="U26" s="81" t="s">
        <v>11</v>
      </c>
      <c r="V26" s="81" t="s">
        <v>11</v>
      </c>
      <c r="W26" s="81" t="s">
        <v>11</v>
      </c>
      <c r="X26" s="81" t="s">
        <v>11</v>
      </c>
      <c r="Y26" s="81" t="s">
        <v>11</v>
      </c>
      <c r="Z26" s="81" t="s">
        <v>11</v>
      </c>
      <c r="AA26" s="81" t="s">
        <v>11</v>
      </c>
      <c r="AB26" s="81" t="s">
        <v>11</v>
      </c>
      <c r="AC26" s="81" t="s">
        <v>11</v>
      </c>
      <c r="AD26" s="81" t="s">
        <v>11</v>
      </c>
      <c r="AE26" s="81" t="s">
        <v>11</v>
      </c>
      <c r="AF26" s="81" t="s">
        <v>11</v>
      </c>
      <c r="AG26" s="81" t="s">
        <v>11</v>
      </c>
      <c r="AH26" s="81" t="s">
        <v>11</v>
      </c>
      <c r="AI26" s="19">
        <f t="shared" si="0"/>
        <v>1</v>
      </c>
    </row>
    <row r="27" spans="1:35" ht="15.75" customHeight="1" x14ac:dyDescent="0.25">
      <c r="A27" s="156" t="s">
        <v>31</v>
      </c>
      <c r="B27" s="157"/>
      <c r="C27" s="158"/>
      <c r="D27" s="27" t="s">
        <v>12</v>
      </c>
      <c r="E27" s="27" t="s">
        <v>12</v>
      </c>
      <c r="F27" s="27" t="s">
        <v>12</v>
      </c>
      <c r="G27" s="27" t="s">
        <v>12</v>
      </c>
      <c r="H27" s="27" t="s">
        <v>8</v>
      </c>
      <c r="I27" s="27" t="s">
        <v>8</v>
      </c>
      <c r="J27" s="27" t="s">
        <v>8</v>
      </c>
      <c r="K27" s="27" t="s">
        <v>8</v>
      </c>
      <c r="L27" s="27" t="s">
        <v>8</v>
      </c>
      <c r="M27" s="27" t="s">
        <v>8</v>
      </c>
      <c r="N27" s="72" t="s">
        <v>22</v>
      </c>
      <c r="O27" s="72" t="s">
        <v>22</v>
      </c>
      <c r="P27" s="72" t="s">
        <v>8</v>
      </c>
      <c r="Q27" s="72" t="s">
        <v>22</v>
      </c>
      <c r="R27" s="72" t="s">
        <v>9</v>
      </c>
      <c r="S27" s="72" t="s">
        <v>9</v>
      </c>
      <c r="T27" s="27" t="s">
        <v>8</v>
      </c>
      <c r="U27" s="27" t="s">
        <v>8</v>
      </c>
      <c r="V27" s="27" t="s">
        <v>8</v>
      </c>
      <c r="W27" s="27" t="s">
        <v>8</v>
      </c>
      <c r="X27" s="27" t="s">
        <v>8</v>
      </c>
      <c r="Y27" s="27" t="s">
        <v>8</v>
      </c>
      <c r="Z27" s="27" t="s">
        <v>8</v>
      </c>
      <c r="AA27" s="27" t="s">
        <v>8</v>
      </c>
      <c r="AB27" s="27" t="s">
        <v>8</v>
      </c>
      <c r="AC27" s="27" t="s">
        <v>8</v>
      </c>
      <c r="AD27" s="27" t="s">
        <v>8</v>
      </c>
      <c r="AE27" s="27" t="s">
        <v>9</v>
      </c>
      <c r="AF27" s="27" t="s">
        <v>9</v>
      </c>
      <c r="AG27" s="27" t="s">
        <v>8</v>
      </c>
      <c r="AH27" s="27" t="s">
        <v>8</v>
      </c>
      <c r="AI27" s="13">
        <f t="shared" si="0"/>
        <v>0.87096774193548387</v>
      </c>
    </row>
    <row r="28" spans="1:35" ht="15.75" customHeight="1" x14ac:dyDescent="0.25">
      <c r="A28" s="183" t="s">
        <v>32</v>
      </c>
      <c r="B28" s="184"/>
      <c r="C28" s="185"/>
      <c r="D28" s="75">
        <v>2</v>
      </c>
      <c r="E28" s="28">
        <v>2</v>
      </c>
      <c r="F28" s="28">
        <v>2</v>
      </c>
      <c r="G28" s="28">
        <v>2</v>
      </c>
      <c r="H28" s="28">
        <v>2</v>
      </c>
      <c r="I28" s="28">
        <v>2</v>
      </c>
      <c r="J28" s="28">
        <v>2</v>
      </c>
      <c r="K28" s="28">
        <v>2</v>
      </c>
      <c r="L28" s="28">
        <v>2</v>
      </c>
      <c r="M28" s="28">
        <v>2</v>
      </c>
      <c r="N28" s="28">
        <v>0</v>
      </c>
      <c r="O28" s="28">
        <v>0</v>
      </c>
      <c r="P28" s="28">
        <v>2</v>
      </c>
      <c r="Q28" s="28" t="s">
        <v>114</v>
      </c>
      <c r="R28" s="28">
        <v>2</v>
      </c>
      <c r="S28" s="28">
        <v>2</v>
      </c>
      <c r="T28" s="28">
        <v>2</v>
      </c>
      <c r="U28" s="28">
        <v>3</v>
      </c>
      <c r="V28" s="28">
        <v>3</v>
      </c>
      <c r="W28" s="28">
        <v>2</v>
      </c>
      <c r="X28" s="28" t="s">
        <v>113</v>
      </c>
      <c r="Y28" s="28" t="s">
        <v>113</v>
      </c>
      <c r="Z28" s="28" t="s">
        <v>113</v>
      </c>
      <c r="AA28" s="28" t="s">
        <v>113</v>
      </c>
      <c r="AB28" s="28" t="s">
        <v>113</v>
      </c>
      <c r="AC28" s="28" t="s">
        <v>113</v>
      </c>
      <c r="AD28" s="28" t="s">
        <v>113</v>
      </c>
      <c r="AE28" s="28" t="s">
        <v>113</v>
      </c>
      <c r="AF28" s="28" t="s">
        <v>113</v>
      </c>
      <c r="AG28" s="28" t="s">
        <v>113</v>
      </c>
      <c r="AH28" s="28">
        <v>2</v>
      </c>
      <c r="AI28" s="17">
        <f>IF(COUNTA(D28:AH28)&gt;0,(COUNTA(D28:AH28)-COUNTIF(D28:AH28,"NB")-COUNTIF(D28:AH28,"DN")-COUNTIF(D28:AH28,"An")-COUNTIF(D28:AH28,"NB^")-COUNTIF(D28:AH28,0))/COUNTA(D28:AH28),"")</f>
        <v>0.93548387096774188</v>
      </c>
    </row>
    <row r="29" spans="1:35" ht="15.75" customHeight="1" x14ac:dyDescent="0.25">
      <c r="A29" s="171" t="s">
        <v>97</v>
      </c>
      <c r="B29" s="172"/>
      <c r="C29" s="173"/>
      <c r="D29" s="83">
        <v>0</v>
      </c>
      <c r="E29" s="83">
        <v>0</v>
      </c>
      <c r="F29" s="83">
        <v>0</v>
      </c>
      <c r="G29" s="83">
        <v>0</v>
      </c>
      <c r="H29" s="83">
        <v>0</v>
      </c>
      <c r="I29" s="83">
        <v>0</v>
      </c>
      <c r="J29" s="83">
        <v>0</v>
      </c>
      <c r="K29" s="83">
        <v>0</v>
      </c>
      <c r="L29" s="83">
        <v>0</v>
      </c>
      <c r="M29" s="83">
        <v>0</v>
      </c>
      <c r="N29" s="83">
        <v>0</v>
      </c>
      <c r="O29" s="83">
        <v>0</v>
      </c>
      <c r="P29" s="83">
        <v>0</v>
      </c>
      <c r="Q29" s="83">
        <v>0</v>
      </c>
      <c r="R29" s="83">
        <v>0</v>
      </c>
      <c r="S29" s="83">
        <v>0</v>
      </c>
      <c r="T29" s="83">
        <v>0</v>
      </c>
      <c r="U29" s="83">
        <v>0</v>
      </c>
      <c r="V29" s="83">
        <v>0</v>
      </c>
      <c r="W29" s="83">
        <v>0</v>
      </c>
      <c r="X29" s="83">
        <v>0</v>
      </c>
      <c r="Y29" s="83">
        <v>0</v>
      </c>
      <c r="Z29" s="83">
        <v>0</v>
      </c>
      <c r="AA29" s="83">
        <v>0</v>
      </c>
      <c r="AB29" s="83">
        <v>0</v>
      </c>
      <c r="AC29" s="83">
        <v>0</v>
      </c>
      <c r="AD29" s="83">
        <v>0</v>
      </c>
      <c r="AE29" s="83">
        <v>0</v>
      </c>
      <c r="AF29" s="83">
        <v>0</v>
      </c>
      <c r="AG29" s="83">
        <v>0</v>
      </c>
      <c r="AH29" s="83">
        <v>0</v>
      </c>
      <c r="AI29" s="19">
        <f>IF(COUNTA(D29:AH29)&gt;0,(COUNTA(D29:AH29)-COUNTIF(D29:AH29,"NB")-COUNTIF(D29:AH29,"DN")-COUNTIF(D29:AH29,"An")-COUNTIF(D29:AH29,"NB^")-COUNTIF(D29:AH29,0))/COUNTA(D29:AH29),"")</f>
        <v>0</v>
      </c>
    </row>
    <row r="30" spans="1:35" ht="15.75" customHeight="1" x14ac:dyDescent="0.25">
      <c r="A30" s="153" t="s">
        <v>33</v>
      </c>
      <c r="B30" s="154"/>
      <c r="C30" s="155"/>
      <c r="D30" s="84" t="s">
        <v>12</v>
      </c>
      <c r="E30" s="84" t="s">
        <v>12</v>
      </c>
      <c r="F30" s="84" t="s">
        <v>12</v>
      </c>
      <c r="G30" s="84" t="s">
        <v>12</v>
      </c>
      <c r="H30" s="84" t="s">
        <v>8</v>
      </c>
      <c r="I30" s="84" t="s">
        <v>8</v>
      </c>
      <c r="J30" s="84" t="s">
        <v>8</v>
      </c>
      <c r="K30" s="84" t="s">
        <v>8</v>
      </c>
      <c r="L30" s="84" t="s">
        <v>8</v>
      </c>
      <c r="M30" s="84" t="s">
        <v>8</v>
      </c>
      <c r="N30" s="84" t="s">
        <v>8</v>
      </c>
      <c r="O30" s="84" t="s">
        <v>8</v>
      </c>
      <c r="P30" s="84" t="s">
        <v>8</v>
      </c>
      <c r="Q30" s="84" t="s">
        <v>8</v>
      </c>
      <c r="R30" s="84" t="s">
        <v>9</v>
      </c>
      <c r="S30" s="84" t="s">
        <v>9</v>
      </c>
      <c r="T30" s="84" t="s">
        <v>8</v>
      </c>
      <c r="U30" s="84" t="s">
        <v>8</v>
      </c>
      <c r="V30" s="84" t="s">
        <v>8</v>
      </c>
      <c r="W30" s="84" t="s">
        <v>8</v>
      </c>
      <c r="X30" s="84" t="s">
        <v>8</v>
      </c>
      <c r="Y30" s="84" t="s">
        <v>8</v>
      </c>
      <c r="Z30" s="84" t="s">
        <v>8</v>
      </c>
      <c r="AA30" s="84" t="s">
        <v>8</v>
      </c>
      <c r="AB30" s="84" t="s">
        <v>8</v>
      </c>
      <c r="AC30" s="84" t="s">
        <v>8</v>
      </c>
      <c r="AD30" s="84" t="s">
        <v>8</v>
      </c>
      <c r="AE30" s="84" t="s">
        <v>9</v>
      </c>
      <c r="AF30" s="84" t="s">
        <v>9</v>
      </c>
      <c r="AG30" s="84" t="s">
        <v>8</v>
      </c>
      <c r="AH30" s="84" t="s">
        <v>8</v>
      </c>
      <c r="AI30" s="19">
        <f>IF(COUNTA(D30:AH30)&gt;0,(COUNTA(D30:AH30)-COUNTIF(D30:AH30,"NB")-COUNTIF(D30:AH30,"DN")-COUNTIF(D30:AH30,"An")-COUNTIF(D30:AH30,"NB^")-COUNTIF(D30:AH30,0))/COUNTA(D30:AH30),"")</f>
        <v>0.87096774193548387</v>
      </c>
    </row>
    <row r="31" spans="1:35" ht="15.75" customHeight="1" x14ac:dyDescent="0.25">
      <c r="A31" s="156" t="s">
        <v>34</v>
      </c>
      <c r="B31" s="157"/>
      <c r="C31" s="158"/>
      <c r="D31" s="72" t="s">
        <v>12</v>
      </c>
      <c r="E31" s="72" t="s">
        <v>12</v>
      </c>
      <c r="F31" s="72" t="s">
        <v>12</v>
      </c>
      <c r="G31" s="72" t="s">
        <v>12</v>
      </c>
      <c r="H31" s="72" t="s">
        <v>8</v>
      </c>
      <c r="I31" s="72" t="s">
        <v>8</v>
      </c>
      <c r="J31" s="72" t="s">
        <v>8</v>
      </c>
      <c r="K31" s="72" t="s">
        <v>8</v>
      </c>
      <c r="L31" s="72" t="s">
        <v>8</v>
      </c>
      <c r="M31" s="72" t="s">
        <v>8</v>
      </c>
      <c r="N31" s="72" t="s">
        <v>8</v>
      </c>
      <c r="O31" s="72" t="s">
        <v>8</v>
      </c>
      <c r="P31" s="72" t="s">
        <v>8</v>
      </c>
      <c r="Q31" s="72" t="s">
        <v>9</v>
      </c>
      <c r="R31" s="72" t="s">
        <v>9</v>
      </c>
      <c r="S31" s="72" t="s">
        <v>9</v>
      </c>
      <c r="T31" s="72" t="s">
        <v>8</v>
      </c>
      <c r="U31" s="72" t="s">
        <v>8</v>
      </c>
      <c r="V31" s="72" t="s">
        <v>8</v>
      </c>
      <c r="W31" s="72" t="s">
        <v>8</v>
      </c>
      <c r="X31" s="72" t="s">
        <v>8</v>
      </c>
      <c r="Y31" s="72" t="s">
        <v>8</v>
      </c>
      <c r="Z31" s="72" t="s">
        <v>8</v>
      </c>
      <c r="AA31" s="72" t="s">
        <v>8</v>
      </c>
      <c r="AB31" s="72" t="s">
        <v>8</v>
      </c>
      <c r="AC31" s="72" t="s">
        <v>8</v>
      </c>
      <c r="AD31" s="72" t="s">
        <v>8</v>
      </c>
      <c r="AE31" s="72" t="s">
        <v>9</v>
      </c>
      <c r="AF31" s="72" t="s">
        <v>9</v>
      </c>
      <c r="AG31" s="72" t="s">
        <v>8</v>
      </c>
      <c r="AH31" s="72" t="s">
        <v>8</v>
      </c>
      <c r="AI31" s="13">
        <f>IF(COUNTA(D31:AH31)&gt;0,(COUNTA(D31:AH31)-COUNTIF(D31:AH31,"NB")-COUNTIF(D31:AH31,"DN")-COUNTIF(D31:AH31,"An")-COUNTIF(D31:AH31,"NB^")-COUNTIF(D31:AH31,0))/COUNTA(D31:AH31),"")</f>
        <v>0.87096774193548387</v>
      </c>
    </row>
    <row r="32" spans="1:35" ht="15.75" customHeight="1" x14ac:dyDescent="0.25">
      <c r="A32" s="159" t="s">
        <v>35</v>
      </c>
      <c r="B32" s="160"/>
      <c r="C32" s="161"/>
      <c r="D32" s="85" t="s">
        <v>12</v>
      </c>
      <c r="E32" s="85" t="s">
        <v>12</v>
      </c>
      <c r="F32" s="85" t="s">
        <v>12</v>
      </c>
      <c r="G32" s="85" t="s">
        <v>12</v>
      </c>
      <c r="H32" s="85" t="s">
        <v>8</v>
      </c>
      <c r="I32" s="85" t="s">
        <v>8</v>
      </c>
      <c r="J32" s="85" t="s">
        <v>8</v>
      </c>
      <c r="K32" s="85" t="s">
        <v>8</v>
      </c>
      <c r="L32" s="85" t="s">
        <v>8</v>
      </c>
      <c r="M32" s="85" t="s">
        <v>8</v>
      </c>
      <c r="N32" s="85" t="s">
        <v>8</v>
      </c>
      <c r="O32" s="85" t="s">
        <v>8</v>
      </c>
      <c r="P32" s="85" t="s">
        <v>8</v>
      </c>
      <c r="Q32" s="85" t="s">
        <v>9</v>
      </c>
      <c r="R32" s="85" t="s">
        <v>9</v>
      </c>
      <c r="S32" s="85" t="s">
        <v>9</v>
      </c>
      <c r="T32" s="85" t="s">
        <v>8</v>
      </c>
      <c r="U32" s="85" t="s">
        <v>8</v>
      </c>
      <c r="V32" s="85" t="s">
        <v>8</v>
      </c>
      <c r="W32" s="85" t="s">
        <v>8</v>
      </c>
      <c r="X32" s="85" t="s">
        <v>8</v>
      </c>
      <c r="Y32" s="85" t="s">
        <v>8</v>
      </c>
      <c r="Z32" s="85" t="s">
        <v>8</v>
      </c>
      <c r="AA32" s="85" t="s">
        <v>8</v>
      </c>
      <c r="AB32" s="85" t="s">
        <v>8</v>
      </c>
      <c r="AC32" s="85" t="s">
        <v>8</v>
      </c>
      <c r="AD32" s="85" t="s">
        <v>8</v>
      </c>
      <c r="AE32" s="85" t="s">
        <v>9</v>
      </c>
      <c r="AF32" s="85" t="s">
        <v>9</v>
      </c>
      <c r="AG32" s="85" t="s">
        <v>8</v>
      </c>
      <c r="AH32" s="85" t="s">
        <v>8</v>
      </c>
      <c r="AI32" s="17">
        <f t="shared" si="0"/>
        <v>0.87096774193548387</v>
      </c>
    </row>
    <row r="33" spans="1:44" ht="15.75" customHeight="1" x14ac:dyDescent="0.25">
      <c r="A33" s="162" t="s">
        <v>36</v>
      </c>
      <c r="B33" s="163"/>
      <c r="C33" s="164"/>
      <c r="D33" s="25" t="s">
        <v>12</v>
      </c>
      <c r="E33" s="25" t="s">
        <v>12</v>
      </c>
      <c r="F33" s="25" t="s">
        <v>12</v>
      </c>
      <c r="G33" s="25" t="s">
        <v>12</v>
      </c>
      <c r="H33" s="25" t="s">
        <v>11</v>
      </c>
      <c r="I33" s="25" t="s">
        <v>11</v>
      </c>
      <c r="J33" s="25" t="s">
        <v>11</v>
      </c>
      <c r="K33" s="25" t="s">
        <v>11</v>
      </c>
      <c r="L33" s="25" t="s">
        <v>11</v>
      </c>
      <c r="M33" s="25" t="s">
        <v>11</v>
      </c>
      <c r="N33" s="81" t="s">
        <v>11</v>
      </c>
      <c r="O33" s="81" t="s">
        <v>11</v>
      </c>
      <c r="P33" s="81" t="s">
        <v>11</v>
      </c>
      <c r="Q33" s="81" t="s">
        <v>11</v>
      </c>
      <c r="R33" s="81" t="s">
        <v>11</v>
      </c>
      <c r="S33" s="81" t="s">
        <v>11</v>
      </c>
      <c r="T33" s="25" t="s">
        <v>11</v>
      </c>
      <c r="U33" s="25" t="s">
        <v>11</v>
      </c>
      <c r="V33" s="25" t="s">
        <v>11</v>
      </c>
      <c r="W33" s="25" t="s">
        <v>11</v>
      </c>
      <c r="X33" s="25" t="s">
        <v>11</v>
      </c>
      <c r="Y33" s="25" t="s">
        <v>11</v>
      </c>
      <c r="Z33" s="25" t="s">
        <v>11</v>
      </c>
      <c r="AA33" s="25" t="s">
        <v>11</v>
      </c>
      <c r="AB33" s="25" t="s">
        <v>11</v>
      </c>
      <c r="AC33" s="25" t="s">
        <v>11</v>
      </c>
      <c r="AD33" s="25" t="s">
        <v>11</v>
      </c>
      <c r="AE33" s="25" t="s">
        <v>11</v>
      </c>
      <c r="AF33" s="25" t="s">
        <v>11</v>
      </c>
      <c r="AG33" s="25" t="s">
        <v>11</v>
      </c>
      <c r="AH33" s="25" t="s">
        <v>11</v>
      </c>
      <c r="AI33" s="19">
        <f t="shared" si="0"/>
        <v>0.87096774193548387</v>
      </c>
    </row>
    <row r="34" spans="1:44" ht="15.75" customHeight="1" x14ac:dyDescent="0.25">
      <c r="A34" s="162" t="s">
        <v>95</v>
      </c>
      <c r="B34" s="163"/>
      <c r="C34" s="164"/>
      <c r="D34" s="24" t="s">
        <v>12</v>
      </c>
      <c r="E34" s="24" t="s">
        <v>12</v>
      </c>
      <c r="F34" s="24" t="s">
        <v>12</v>
      </c>
      <c r="G34" s="24" t="s">
        <v>12</v>
      </c>
      <c r="H34" s="24" t="s">
        <v>22</v>
      </c>
      <c r="I34" s="24" t="s">
        <v>22</v>
      </c>
      <c r="J34" s="24" t="s">
        <v>22</v>
      </c>
      <c r="K34" s="24" t="s">
        <v>11</v>
      </c>
      <c r="L34" s="24" t="s">
        <v>11</v>
      </c>
      <c r="M34" s="24" t="s">
        <v>11</v>
      </c>
      <c r="N34" s="81" t="s">
        <v>11</v>
      </c>
      <c r="O34" s="81" t="s">
        <v>11</v>
      </c>
      <c r="P34" s="81" t="s">
        <v>11</v>
      </c>
      <c r="Q34" s="81" t="s">
        <v>11</v>
      </c>
      <c r="R34" s="81" t="s">
        <v>11</v>
      </c>
      <c r="S34" s="81" t="s">
        <v>11</v>
      </c>
      <c r="T34" s="24" t="s">
        <v>11</v>
      </c>
      <c r="U34" s="24" t="s">
        <v>11</v>
      </c>
      <c r="V34" s="24" t="s">
        <v>11</v>
      </c>
      <c r="W34" s="24" t="s">
        <v>11</v>
      </c>
      <c r="X34" s="24" t="s">
        <v>11</v>
      </c>
      <c r="Y34" s="24" t="s">
        <v>11</v>
      </c>
      <c r="Z34" s="24" t="s">
        <v>11</v>
      </c>
      <c r="AA34" s="24" t="s">
        <v>11</v>
      </c>
      <c r="AB34" s="24" t="s">
        <v>11</v>
      </c>
      <c r="AC34" s="24" t="s">
        <v>11</v>
      </c>
      <c r="AD34" s="24" t="s">
        <v>11</v>
      </c>
      <c r="AE34" s="24" t="s">
        <v>22</v>
      </c>
      <c r="AF34" s="24" t="s">
        <v>22</v>
      </c>
      <c r="AG34" s="24" t="s">
        <v>11</v>
      </c>
      <c r="AH34" s="24" t="s">
        <v>11</v>
      </c>
      <c r="AI34" s="19">
        <f t="shared" si="0"/>
        <v>0.87096774193548387</v>
      </c>
    </row>
    <row r="35" spans="1:44" ht="15.75" customHeight="1" thickBot="1" x14ac:dyDescent="0.3">
      <c r="A35" s="165" t="s">
        <v>96</v>
      </c>
      <c r="B35" s="166"/>
      <c r="C35" s="167"/>
      <c r="D35" s="96" t="s">
        <v>12</v>
      </c>
      <c r="E35" s="96" t="s">
        <v>12</v>
      </c>
      <c r="F35" s="96" t="s">
        <v>12</v>
      </c>
      <c r="G35" s="96" t="s">
        <v>12</v>
      </c>
      <c r="H35" s="96" t="s">
        <v>22</v>
      </c>
      <c r="I35" s="96" t="s">
        <v>22</v>
      </c>
      <c r="J35" s="96" t="s">
        <v>22</v>
      </c>
      <c r="K35" s="96" t="s">
        <v>22</v>
      </c>
      <c r="L35" s="96" t="s">
        <v>22</v>
      </c>
      <c r="M35" s="96" t="s">
        <v>22</v>
      </c>
      <c r="N35" s="95" t="s">
        <v>22</v>
      </c>
      <c r="O35" s="95" t="s">
        <v>11</v>
      </c>
      <c r="P35" s="95" t="s">
        <v>11</v>
      </c>
      <c r="Q35" s="95" t="s">
        <v>11</v>
      </c>
      <c r="R35" s="95" t="s">
        <v>11</v>
      </c>
      <c r="S35" s="95" t="s">
        <v>11</v>
      </c>
      <c r="T35" s="95" t="s">
        <v>11</v>
      </c>
      <c r="U35" s="96" t="s">
        <v>11</v>
      </c>
      <c r="V35" s="96" t="s">
        <v>11</v>
      </c>
      <c r="W35" s="96" t="s">
        <v>11</v>
      </c>
      <c r="X35" s="96" t="s">
        <v>11</v>
      </c>
      <c r="Y35" s="96" t="s">
        <v>11</v>
      </c>
      <c r="Z35" s="96" t="s">
        <v>11</v>
      </c>
      <c r="AA35" s="96" t="s">
        <v>11</v>
      </c>
      <c r="AB35" s="96" t="s">
        <v>11</v>
      </c>
      <c r="AC35" s="96" t="s">
        <v>11</v>
      </c>
      <c r="AD35" s="96" t="s">
        <v>11</v>
      </c>
      <c r="AE35" s="96" t="s">
        <v>22</v>
      </c>
      <c r="AF35" s="96" t="s">
        <v>22</v>
      </c>
      <c r="AG35" s="96" t="s">
        <v>11</v>
      </c>
      <c r="AH35" s="96" t="s">
        <v>11</v>
      </c>
      <c r="AI35" s="98">
        <f t="shared" si="0"/>
        <v>0.87096774193548387</v>
      </c>
    </row>
    <row r="36" spans="1:44" s="32" customFormat="1" ht="15.75" customHeight="1" x14ac:dyDescent="0.25">
      <c r="A36" s="150" t="s">
        <v>37</v>
      </c>
      <c r="B36" s="151"/>
      <c r="C36" s="152"/>
      <c r="D36" s="31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7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68" t="s">
        <v>38</v>
      </c>
      <c r="B37" s="169"/>
      <c r="C37" s="170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87"/>
      <c r="W37" s="87"/>
      <c r="X37" s="87"/>
      <c r="Y37" s="87"/>
      <c r="Z37" s="87"/>
      <c r="AA37" s="94"/>
      <c r="AB37" s="87"/>
      <c r="AC37" s="87"/>
      <c r="AD37" s="87"/>
      <c r="AE37" s="87"/>
      <c r="AF37" s="87"/>
      <c r="AG37" s="87"/>
      <c r="AH37" s="89"/>
      <c r="AI37" s="35"/>
    </row>
    <row r="38" spans="1:44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/>
      </c>
      <c r="E38" s="37" t="str">
        <f>IF(AND(E5&gt;0,COUNTA(E6:E37)&gt;0,COUNTA(E6:E37)-COUNTIF(E6:E37,"NB")-COUNTIF(E30:E31, "0")=COUNTA(E6:E37)),"AB","")</f>
        <v/>
      </c>
      <c r="F38" s="37" t="str">
        <f>IF(AND(F5&gt;0,COUNTA(F6:F37)&gt;0,COUNTA(F6:F37)-COUNTIF(F6:F37,"NB")-COUNTIF(F30:F31, "0")=COUNTA(F6:F37)),"AB","")</f>
        <v/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/>
      </c>
      <c r="J38" s="37" t="str">
        <f t="shared" ref="J38:AH38" si="1">IF(AND(J5&gt;0,COUNTA(J6:J37)&gt;0,COUNTA(J6:J37)-COUNTIF(J6:J37,"NB")-COUNTIF(J30:J31, "0")=COUNTA(J6:J37)),"AB","")</f>
        <v/>
      </c>
      <c r="K38" s="37" t="str">
        <f t="shared" si="1"/>
        <v/>
      </c>
      <c r="L38" s="37" t="str">
        <f t="shared" si="1"/>
        <v/>
      </c>
      <c r="M38" s="37" t="str">
        <f t="shared" si="1"/>
        <v/>
      </c>
      <c r="N38" s="37" t="str">
        <f t="shared" si="1"/>
        <v/>
      </c>
      <c r="O38" s="37" t="str">
        <f t="shared" si="1"/>
        <v/>
      </c>
      <c r="P38" s="37" t="str">
        <f t="shared" si="1"/>
        <v/>
      </c>
      <c r="Q38" s="37" t="str">
        <f t="shared" si="1"/>
        <v/>
      </c>
      <c r="R38" s="37" t="str">
        <f t="shared" si="1"/>
        <v/>
      </c>
      <c r="S38" s="37" t="str">
        <f t="shared" si="1"/>
        <v/>
      </c>
      <c r="T38" s="37" t="str">
        <f t="shared" si="1"/>
        <v/>
      </c>
      <c r="U38" s="37" t="str">
        <f t="shared" si="1"/>
        <v/>
      </c>
      <c r="V38" s="37" t="str">
        <f t="shared" si="1"/>
        <v/>
      </c>
      <c r="W38" s="37" t="str">
        <f t="shared" si="1"/>
        <v/>
      </c>
      <c r="X38" s="37" t="str">
        <f t="shared" si="1"/>
        <v/>
      </c>
      <c r="Y38" s="37" t="str">
        <f t="shared" si="1"/>
        <v/>
      </c>
      <c r="Z38" s="37" t="str">
        <f t="shared" si="1"/>
        <v/>
      </c>
      <c r="AA38" s="37" t="str">
        <f t="shared" si="1"/>
        <v/>
      </c>
      <c r="AB38" s="37" t="str">
        <f t="shared" si="1"/>
        <v/>
      </c>
      <c r="AC38" s="37" t="str">
        <f t="shared" si="1"/>
        <v/>
      </c>
      <c r="AD38" s="37" t="str">
        <f t="shared" si="1"/>
        <v/>
      </c>
      <c r="AE38" s="37" t="str">
        <f t="shared" si="1"/>
        <v/>
      </c>
      <c r="AF38" s="37" t="str">
        <f t="shared" si="1"/>
        <v>AB</v>
      </c>
      <c r="AG38" s="37" t="str">
        <f t="shared" si="1"/>
        <v>AB</v>
      </c>
      <c r="AH38" s="37" t="str">
        <f t="shared" si="1"/>
        <v>AB</v>
      </c>
      <c r="AI38" s="35"/>
    </row>
    <row r="39" spans="1:44" ht="15.75" hidden="1" customHeight="1" x14ac:dyDescent="0.25">
      <c r="D39" s="38" t="str">
        <f>IF(AND(D5:D5&gt;0,COUNTA(D6:D35),COUNTIF(D6:D35,"NB")+COUNTIF(D6:D35,0)=COUNTA(D6:D35)),"ANB","")</f>
        <v/>
      </c>
      <c r="E39" s="38" t="str">
        <f>IF(AND(E5:E5&gt;0,COUNTA(E6:E35),COUNTIF(E6:E35,"NB")+COUNTIF(E6:E35,0)=COUNTA(E6:E35)),"ANB","")</f>
        <v/>
      </c>
      <c r="F39" s="38" t="str">
        <f>IF(AND(F5:F5&gt;0,COUNTA(F6:F35),COUNTIF(F6:F35,"NB")+COUNTIF(F6:F35,0)=COUNTA(F6:F35)),"ANB","")</f>
        <v/>
      </c>
      <c r="G39" s="38" t="str">
        <f>IF(AND(G5:G5&gt;0,COUNTA(G6:G35),COUNTIF(G6:G35,"NB")+COUNTIF(G6:G35,0)=COUNTA(G6:G35)),"ANB","")</f>
        <v/>
      </c>
      <c r="H39" s="38" t="str">
        <f>IF(AND(H5:H5&gt;0,COUNTA(H6:H35),COUNTIF(H6:H35,"NB")+COUNTIF(H6:H35,0)=COUNTA(H6:H35)),"ANB","")</f>
        <v/>
      </c>
      <c r="I39" s="38" t="str">
        <f>IF(AND(I5:I5&gt;0,COUNTA(I6:I31),COUNTIF(I6:I31,"NB")+COUNTIF(I6:I31,0)=COUNTA(I6:I31)),"ANB","")</f>
        <v/>
      </c>
      <c r="J39" s="38" t="str">
        <f t="shared" ref="J39:AH39" si="2">IF(AND(J5:J5&gt;0,COUNTA(J6:J35),COUNTIF(J6:J35,"NB")+COUNTIF(J6:J35,0)=COUNTA(J6:J35)),"ANB","")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str">
        <f t="shared" si="2"/>
        <v/>
      </c>
    </row>
    <row r="40" spans="1:44" ht="15.75" customHeight="1" thickBot="1" x14ac:dyDescent="0.3">
      <c r="D40" s="39"/>
    </row>
    <row r="41" spans="1:44" ht="15.75" customHeight="1" thickBot="1" x14ac:dyDescent="0.3">
      <c r="A41" s="147" t="s">
        <v>39</v>
      </c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9"/>
    </row>
    <row r="42" spans="1:44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  <c r="AH49" s="59"/>
    </row>
    <row r="50" spans="1:35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COUNTA(D5:AH5)</f>
        <v>31</v>
      </c>
      <c r="AH50" s="59"/>
      <c r="AI50"/>
    </row>
    <row r="51" spans="1:35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COUNTIF(D38:AH38,"AB")</f>
        <v>3</v>
      </c>
      <c r="AH51" s="59"/>
      <c r="AI51"/>
    </row>
    <row r="52" spans="1:35" ht="15.75" customHeight="1" x14ac:dyDescent="0.25">
      <c r="A52" s="54" t="s">
        <v>82</v>
      </c>
      <c r="B52" t="s">
        <v>83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28</v>
      </c>
      <c r="AH52" s="59"/>
      <c r="AI52"/>
    </row>
    <row r="53" spans="1:35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41:AH41"/>
    <mergeCell ref="A30:C30"/>
    <mergeCell ref="A31:C31"/>
    <mergeCell ref="A32:C32"/>
    <mergeCell ref="A33:C33"/>
    <mergeCell ref="A36:C36"/>
    <mergeCell ref="A34:C34"/>
    <mergeCell ref="A35:C35"/>
    <mergeCell ref="A26:C26"/>
    <mergeCell ref="A27:C27"/>
    <mergeCell ref="A28:C28"/>
    <mergeCell ref="A29:C29"/>
    <mergeCell ref="A37:C37"/>
    <mergeCell ref="A21:C21"/>
    <mergeCell ref="A22:C22"/>
    <mergeCell ref="A23:C23"/>
    <mergeCell ref="A24:C24"/>
    <mergeCell ref="A25:C25"/>
    <mergeCell ref="A16:C16"/>
    <mergeCell ref="A17:C17"/>
    <mergeCell ref="A18:C18"/>
    <mergeCell ref="A19:C19"/>
    <mergeCell ref="A20:C20"/>
    <mergeCell ref="A11:C11"/>
    <mergeCell ref="A12:C12"/>
    <mergeCell ref="A13:C13"/>
    <mergeCell ref="A14:C14"/>
    <mergeCell ref="A15:C15"/>
    <mergeCell ref="A6:C6"/>
    <mergeCell ref="A7:C7"/>
    <mergeCell ref="A8:C8"/>
    <mergeCell ref="A9:C9"/>
    <mergeCell ref="A10:C10"/>
  </mergeCells>
  <conditionalFormatting sqref="N34 Q34:S34">
    <cfRule type="cellIs" dxfId="911" priority="512" stopIfTrue="1" operator="equal">
      <formula>"B"</formula>
    </cfRule>
    <cfRule type="cellIs" dxfId="910" priority="513" stopIfTrue="1" operator="equal">
      <formula>"M"</formula>
    </cfRule>
    <cfRule type="cellIs" dxfId="909" priority="514" stopIfTrue="1" operator="between">
      <formula>"NB"</formula>
      <formula>"NB^"</formula>
    </cfRule>
  </conditionalFormatting>
  <conditionalFormatting sqref="N35 Q35:S35">
    <cfRule type="cellIs" dxfId="908" priority="506" stopIfTrue="1" operator="equal">
      <formula>"B"</formula>
    </cfRule>
    <cfRule type="cellIs" dxfId="907" priority="507" stopIfTrue="1" operator="equal">
      <formula>"M"</formula>
    </cfRule>
    <cfRule type="cellIs" dxfId="906" priority="508" stopIfTrue="1" operator="between">
      <formula>"NB"</formula>
      <formula>"NB^"</formula>
    </cfRule>
  </conditionalFormatting>
  <conditionalFormatting sqref="N6:N7 N30:N33 N18:N22 N27 Q27:S27 Q30:S33 Q6:S7 AE6:AF6">
    <cfRule type="cellIs" dxfId="905" priority="547" stopIfTrue="1" operator="equal">
      <formula>"B"</formula>
    </cfRule>
    <cfRule type="cellIs" dxfId="904" priority="548" stopIfTrue="1" operator="equal">
      <formula>"M"</formula>
    </cfRule>
    <cfRule type="cellIs" dxfId="903" priority="549" stopIfTrue="1" operator="between">
      <formula>"NB"</formula>
      <formula>"NB^"</formula>
    </cfRule>
  </conditionalFormatting>
  <conditionalFormatting sqref="N28:N29 Q28:S29">
    <cfRule type="cellIs" dxfId="902" priority="550" stopIfTrue="1" operator="equal">
      <formula>0</formula>
    </cfRule>
  </conditionalFormatting>
  <conditionalFormatting sqref="D36:AH36">
    <cfRule type="cellIs" dxfId="901" priority="495" operator="equal">
      <formula>"B"</formula>
    </cfRule>
    <cfRule type="cellIs" dxfId="900" priority="496" operator="equal">
      <formula>0</formula>
    </cfRule>
    <cfRule type="cellIs" dxfId="899" priority="497" operator="equal">
      <formula>"NB"</formula>
    </cfRule>
    <cfRule type="cellIs" dxfId="898" priority="498" operator="equal">
      <formula>"M"</formula>
    </cfRule>
  </conditionalFormatting>
  <conditionalFormatting sqref="M9:N14">
    <cfRule type="cellIs" dxfId="897" priority="450" stopIfTrue="1" operator="equal">
      <formula>"B"</formula>
    </cfRule>
    <cfRule type="cellIs" dxfId="896" priority="451" stopIfTrue="1" operator="equal">
      <formula>"M"</formula>
    </cfRule>
    <cfRule type="cellIs" dxfId="895" priority="452" stopIfTrue="1" operator="between">
      <formula>"NB"</formula>
      <formula>"NB^"</formula>
    </cfRule>
  </conditionalFormatting>
  <conditionalFormatting sqref="U6:U7 U18:U22 U27:U35">
    <cfRule type="cellIs" dxfId="894" priority="365" operator="equal">
      <formula>"B"</formula>
    </cfRule>
    <cfRule type="cellIs" dxfId="893" priority="366" operator="equal">
      <formula>0</formula>
    </cfRule>
    <cfRule type="cellIs" dxfId="892" priority="367" operator="equal">
      <formula>"NB"</formula>
    </cfRule>
    <cfRule type="cellIs" dxfId="891" priority="368" operator="equal">
      <formula>"M"</formula>
    </cfRule>
  </conditionalFormatting>
  <conditionalFormatting sqref="E6:E8 E15:E35 H6:H8 H15:H35 N15:N17">
    <cfRule type="cellIs" dxfId="890" priority="357" operator="equal">
      <formula>"B"</formula>
    </cfRule>
    <cfRule type="cellIs" dxfId="889" priority="358" operator="equal">
      <formula>0</formula>
    </cfRule>
    <cfRule type="cellIs" dxfId="888" priority="359" operator="equal">
      <formula>"NB"</formula>
    </cfRule>
    <cfRule type="cellIs" dxfId="887" priority="360" operator="equal">
      <formula>"M"</formula>
    </cfRule>
  </conditionalFormatting>
  <conditionalFormatting sqref="E9:E14 H9:H14">
    <cfRule type="cellIs" dxfId="886" priority="353" operator="equal">
      <formula>"B"</formula>
    </cfRule>
    <cfRule type="cellIs" dxfId="885" priority="354" operator="equal">
      <formula>0</formula>
    </cfRule>
    <cfRule type="cellIs" dxfId="884" priority="355" operator="equal">
      <formula>"NB"</formula>
    </cfRule>
    <cfRule type="cellIs" dxfId="883" priority="356" operator="equal">
      <formula>"M"</formula>
    </cfRule>
  </conditionalFormatting>
  <conditionalFormatting sqref="T35">
    <cfRule type="cellIs" dxfId="882" priority="301" stopIfTrue="1" operator="equal">
      <formula>"B"</formula>
    </cfRule>
    <cfRule type="cellIs" dxfId="881" priority="302" stopIfTrue="1" operator="equal">
      <formula>"M"</formula>
    </cfRule>
    <cfRule type="cellIs" dxfId="880" priority="303" stopIfTrue="1" operator="between">
      <formula>"NB"</formula>
      <formula>"NB^"</formula>
    </cfRule>
  </conditionalFormatting>
  <conditionalFormatting sqref="U9:U14">
    <cfRule type="cellIs" dxfId="879" priority="298" stopIfTrue="1" operator="equal">
      <formula>"B"</formula>
    </cfRule>
    <cfRule type="cellIs" dxfId="878" priority="299" stopIfTrue="1" operator="equal">
      <formula>"M"</formula>
    </cfRule>
    <cfRule type="cellIs" dxfId="877" priority="300" stopIfTrue="1" operator="between">
      <formula>"NB"</formula>
      <formula>"NB^"</formula>
    </cfRule>
  </conditionalFormatting>
  <conditionalFormatting sqref="U15:U17">
    <cfRule type="cellIs" dxfId="876" priority="244" operator="equal">
      <formula>"B"</formula>
    </cfRule>
    <cfRule type="cellIs" dxfId="875" priority="245" operator="equal">
      <formula>0</formula>
    </cfRule>
    <cfRule type="cellIs" dxfId="874" priority="246" operator="equal">
      <formula>"NB"</formula>
    </cfRule>
    <cfRule type="cellIs" dxfId="873" priority="247" operator="equal">
      <formula>"M"</formula>
    </cfRule>
  </conditionalFormatting>
  <conditionalFormatting sqref="AE6:AF6">
    <cfRule type="cellIs" dxfId="872" priority="240" stopIfTrue="1" operator="equal">
      <formula>"B"</formula>
    </cfRule>
    <cfRule type="cellIs" dxfId="871" priority="241" stopIfTrue="1" operator="equal">
      <formula>"M"</formula>
    </cfRule>
    <cfRule type="cellIs" dxfId="870" priority="242" stopIfTrue="1" operator="between">
      <formula>"NB"</formula>
      <formula>"NB^"</formula>
    </cfRule>
  </conditionalFormatting>
  <conditionalFormatting sqref="D6:D7 D9:D35">
    <cfRule type="cellIs" dxfId="869" priority="220" operator="equal">
      <formula>"B"</formula>
    </cfRule>
    <cfRule type="cellIs" dxfId="868" priority="221" operator="equal">
      <formula>0</formula>
    </cfRule>
    <cfRule type="cellIs" dxfId="867" priority="222" operator="equal">
      <formula>"NB"</formula>
    </cfRule>
    <cfRule type="cellIs" dxfId="866" priority="223" operator="equal">
      <formula>"M"</formula>
    </cfRule>
  </conditionalFormatting>
  <conditionalFormatting sqref="D8">
    <cfRule type="cellIs" dxfId="865" priority="216" operator="equal">
      <formula>0</formula>
    </cfRule>
    <cfRule type="cellIs" dxfId="864" priority="217" operator="equal">
      <formula>"B"</formula>
    </cfRule>
    <cfRule type="cellIs" dxfId="863" priority="218" operator="equal">
      <formula>"M"</formula>
    </cfRule>
    <cfRule type="cellIs" dxfId="862" priority="219" operator="equal">
      <formula>"NB"</formula>
    </cfRule>
  </conditionalFormatting>
  <conditionalFormatting sqref="F6:F8 F15:F35">
    <cfRule type="cellIs" dxfId="861" priority="212" operator="equal">
      <formula>"B"</formula>
    </cfRule>
    <cfRule type="cellIs" dxfId="860" priority="213" operator="equal">
      <formula>0</formula>
    </cfRule>
    <cfRule type="cellIs" dxfId="859" priority="214" operator="equal">
      <formula>"NB"</formula>
    </cfRule>
    <cfRule type="cellIs" dxfId="858" priority="215" operator="equal">
      <formula>"M"</formula>
    </cfRule>
  </conditionalFormatting>
  <conditionalFormatting sqref="F9:F14">
    <cfRule type="cellIs" dxfId="857" priority="208" operator="equal">
      <formula>"B"</formula>
    </cfRule>
    <cfRule type="cellIs" dxfId="856" priority="209" operator="equal">
      <formula>0</formula>
    </cfRule>
    <cfRule type="cellIs" dxfId="855" priority="210" operator="equal">
      <formula>"NB"</formula>
    </cfRule>
    <cfRule type="cellIs" dxfId="854" priority="211" operator="equal">
      <formula>"M"</formula>
    </cfRule>
  </conditionalFormatting>
  <conditionalFormatting sqref="G6:G8 G15:G35">
    <cfRule type="cellIs" dxfId="853" priority="204" operator="equal">
      <formula>"B"</formula>
    </cfRule>
    <cfRule type="cellIs" dxfId="852" priority="205" operator="equal">
      <formula>0</formula>
    </cfRule>
    <cfRule type="cellIs" dxfId="851" priority="206" operator="equal">
      <formula>"NB"</formula>
    </cfRule>
    <cfRule type="cellIs" dxfId="850" priority="207" operator="equal">
      <formula>"M"</formula>
    </cfRule>
  </conditionalFormatting>
  <conditionalFormatting sqref="G9:G14">
    <cfRule type="cellIs" dxfId="849" priority="200" operator="equal">
      <formula>"B"</formula>
    </cfRule>
    <cfRule type="cellIs" dxfId="848" priority="201" operator="equal">
      <formula>0</formula>
    </cfRule>
    <cfRule type="cellIs" dxfId="847" priority="202" operator="equal">
      <formula>"NB"</formula>
    </cfRule>
    <cfRule type="cellIs" dxfId="846" priority="203" operator="equal">
      <formula>"M"</formula>
    </cfRule>
  </conditionalFormatting>
  <conditionalFormatting sqref="I6:I8 I15:I35">
    <cfRule type="cellIs" dxfId="845" priority="196" operator="equal">
      <formula>"B"</formula>
    </cfRule>
    <cfRule type="cellIs" dxfId="844" priority="197" operator="equal">
      <formula>0</formula>
    </cfRule>
    <cfRule type="cellIs" dxfId="843" priority="198" operator="equal">
      <formula>"NB"</formula>
    </cfRule>
    <cfRule type="cellIs" dxfId="842" priority="199" operator="equal">
      <formula>"M"</formula>
    </cfRule>
  </conditionalFormatting>
  <conditionalFormatting sqref="I9:I14">
    <cfRule type="cellIs" dxfId="841" priority="192" operator="equal">
      <formula>"B"</formula>
    </cfRule>
    <cfRule type="cellIs" dxfId="840" priority="193" operator="equal">
      <formula>0</formula>
    </cfRule>
    <cfRule type="cellIs" dxfId="839" priority="194" operator="equal">
      <formula>"NB"</formula>
    </cfRule>
    <cfRule type="cellIs" dxfId="838" priority="195" operator="equal">
      <formula>"M"</formula>
    </cfRule>
  </conditionalFormatting>
  <conditionalFormatting sqref="J6:L8 J15:L35 M23:N26 M8:N8 M6:M7 M15:M22 M27:M35 Q8:S8 U8">
    <cfRule type="cellIs" dxfId="837" priority="188" operator="equal">
      <formula>"B"</formula>
    </cfRule>
    <cfRule type="cellIs" dxfId="836" priority="189" operator="equal">
      <formula>0</formula>
    </cfRule>
    <cfRule type="cellIs" dxfId="835" priority="190" operator="equal">
      <formula>"NB"</formula>
    </cfRule>
    <cfRule type="cellIs" dxfId="834" priority="191" operator="equal">
      <formula>"M"</formula>
    </cfRule>
  </conditionalFormatting>
  <conditionalFormatting sqref="J9:L14">
    <cfRule type="cellIs" dxfId="833" priority="184" operator="equal">
      <formula>"B"</formula>
    </cfRule>
    <cfRule type="cellIs" dxfId="832" priority="185" operator="equal">
      <formula>0</formula>
    </cfRule>
    <cfRule type="cellIs" dxfId="831" priority="186" operator="equal">
      <formula>"NB"</formula>
    </cfRule>
    <cfRule type="cellIs" dxfId="830" priority="187" operator="equal">
      <formula>"M"</formula>
    </cfRule>
  </conditionalFormatting>
  <conditionalFormatting sqref="O34">
    <cfRule type="cellIs" dxfId="829" priority="177" stopIfTrue="1" operator="equal">
      <formula>"B"</formula>
    </cfRule>
    <cfRule type="cellIs" dxfId="828" priority="178" stopIfTrue="1" operator="equal">
      <formula>"M"</formula>
    </cfRule>
    <cfRule type="cellIs" dxfId="827" priority="179" stopIfTrue="1" operator="between">
      <formula>"NB"</formula>
      <formula>"NB^"</formula>
    </cfRule>
  </conditionalFormatting>
  <conditionalFormatting sqref="O35">
    <cfRule type="cellIs" dxfId="826" priority="174" stopIfTrue="1" operator="equal">
      <formula>"B"</formula>
    </cfRule>
    <cfRule type="cellIs" dxfId="825" priority="175" stopIfTrue="1" operator="equal">
      <formula>"M"</formula>
    </cfRule>
    <cfRule type="cellIs" dxfId="824" priority="176" stopIfTrue="1" operator="between">
      <formula>"NB"</formula>
      <formula>"NB^"</formula>
    </cfRule>
  </conditionalFormatting>
  <conditionalFormatting sqref="O6:O7 O30:O33 O18:O22 O27">
    <cfRule type="cellIs" dxfId="823" priority="180" stopIfTrue="1" operator="equal">
      <formula>"B"</formula>
    </cfRule>
    <cfRule type="cellIs" dxfId="822" priority="181" stopIfTrue="1" operator="equal">
      <formula>"M"</formula>
    </cfRule>
    <cfRule type="cellIs" dxfId="821" priority="182" stopIfTrue="1" operator="between">
      <formula>"NB"</formula>
      <formula>"NB^"</formula>
    </cfRule>
  </conditionalFormatting>
  <conditionalFormatting sqref="O28:O29">
    <cfRule type="cellIs" dxfId="820" priority="183" stopIfTrue="1" operator="equal">
      <formula>0</formula>
    </cfRule>
  </conditionalFormatting>
  <conditionalFormatting sqref="O9:O14">
    <cfRule type="cellIs" dxfId="819" priority="171" stopIfTrue="1" operator="equal">
      <formula>"B"</formula>
    </cfRule>
    <cfRule type="cellIs" dxfId="818" priority="172" stopIfTrue="1" operator="equal">
      <formula>"M"</formula>
    </cfRule>
    <cfRule type="cellIs" dxfId="817" priority="173" stopIfTrue="1" operator="between">
      <formula>"NB"</formula>
      <formula>"NB^"</formula>
    </cfRule>
  </conditionalFormatting>
  <conditionalFormatting sqref="O15:O17">
    <cfRule type="cellIs" dxfId="816" priority="167" operator="equal">
      <formula>"B"</formula>
    </cfRule>
    <cfRule type="cellIs" dxfId="815" priority="168" operator="equal">
      <formula>0</formula>
    </cfRule>
    <cfRule type="cellIs" dxfId="814" priority="169" operator="equal">
      <formula>"NB"</formula>
    </cfRule>
    <cfRule type="cellIs" dxfId="813" priority="170" operator="equal">
      <formula>"M"</formula>
    </cfRule>
  </conditionalFormatting>
  <conditionalFormatting sqref="O23:O26 O8">
    <cfRule type="cellIs" dxfId="812" priority="163" operator="equal">
      <formula>"B"</formula>
    </cfRule>
    <cfRule type="cellIs" dxfId="811" priority="164" operator="equal">
      <formula>0</formula>
    </cfRule>
    <cfRule type="cellIs" dxfId="810" priority="165" operator="equal">
      <formula>"NB"</formula>
    </cfRule>
    <cfRule type="cellIs" dxfId="809" priority="166" operator="equal">
      <formula>"M"</formula>
    </cfRule>
  </conditionalFormatting>
  <conditionalFormatting sqref="P34">
    <cfRule type="cellIs" dxfId="808" priority="156" stopIfTrue="1" operator="equal">
      <formula>"B"</formula>
    </cfRule>
    <cfRule type="cellIs" dxfId="807" priority="157" stopIfTrue="1" operator="equal">
      <formula>"M"</formula>
    </cfRule>
    <cfRule type="cellIs" dxfId="806" priority="158" stopIfTrue="1" operator="between">
      <formula>"NB"</formula>
      <formula>"NB^"</formula>
    </cfRule>
  </conditionalFormatting>
  <conditionalFormatting sqref="P35">
    <cfRule type="cellIs" dxfId="805" priority="153" stopIfTrue="1" operator="equal">
      <formula>"B"</formula>
    </cfRule>
    <cfRule type="cellIs" dxfId="804" priority="154" stopIfTrue="1" operator="equal">
      <formula>"M"</formula>
    </cfRule>
    <cfRule type="cellIs" dxfId="803" priority="155" stopIfTrue="1" operator="between">
      <formula>"NB"</formula>
      <formula>"NB^"</formula>
    </cfRule>
  </conditionalFormatting>
  <conditionalFormatting sqref="P6:P7 P30:P33 P27 P18:S22">
    <cfRule type="cellIs" dxfId="802" priority="159" stopIfTrue="1" operator="equal">
      <formula>"B"</formula>
    </cfRule>
    <cfRule type="cellIs" dxfId="801" priority="160" stopIfTrue="1" operator="equal">
      <formula>"M"</formula>
    </cfRule>
    <cfRule type="cellIs" dxfId="800" priority="161" stopIfTrue="1" operator="between">
      <formula>"NB"</formula>
      <formula>"NB^"</formula>
    </cfRule>
  </conditionalFormatting>
  <conditionalFormatting sqref="P28:P29">
    <cfRule type="cellIs" dxfId="799" priority="162" stopIfTrue="1" operator="equal">
      <formula>0</formula>
    </cfRule>
  </conditionalFormatting>
  <conditionalFormatting sqref="P9:S14">
    <cfRule type="cellIs" dxfId="798" priority="150" stopIfTrue="1" operator="equal">
      <formula>"B"</formula>
    </cfRule>
    <cfRule type="cellIs" dxfId="797" priority="151" stopIfTrue="1" operator="equal">
      <formula>"M"</formula>
    </cfRule>
    <cfRule type="cellIs" dxfId="796" priority="152" stopIfTrue="1" operator="between">
      <formula>"NB"</formula>
      <formula>"NB^"</formula>
    </cfRule>
  </conditionalFormatting>
  <conditionalFormatting sqref="P15:S17">
    <cfRule type="cellIs" dxfId="795" priority="146" operator="equal">
      <formula>"B"</formula>
    </cfRule>
    <cfRule type="cellIs" dxfId="794" priority="147" operator="equal">
      <formula>0</formula>
    </cfRule>
    <cfRule type="cellIs" dxfId="793" priority="148" operator="equal">
      <formula>"NB"</formula>
    </cfRule>
    <cfRule type="cellIs" dxfId="792" priority="149" operator="equal">
      <formula>"M"</formula>
    </cfRule>
  </conditionalFormatting>
  <conditionalFormatting sqref="P8 P23:S26">
    <cfRule type="cellIs" dxfId="791" priority="142" operator="equal">
      <formula>"B"</formula>
    </cfRule>
    <cfRule type="cellIs" dxfId="790" priority="143" operator="equal">
      <formula>0</formula>
    </cfRule>
    <cfRule type="cellIs" dxfId="789" priority="144" operator="equal">
      <formula>"NB"</formula>
    </cfRule>
    <cfRule type="cellIs" dxfId="788" priority="145" operator="equal">
      <formula>"M"</formula>
    </cfRule>
  </conditionalFormatting>
  <conditionalFormatting sqref="T6:T8 T15:T34 U23:U26">
    <cfRule type="cellIs" dxfId="787" priority="138" operator="equal">
      <formula>"B"</formula>
    </cfRule>
    <cfRule type="cellIs" dxfId="786" priority="139" operator="equal">
      <formula>0</formula>
    </cfRule>
    <cfRule type="cellIs" dxfId="785" priority="140" operator="equal">
      <formula>"NB"</formula>
    </cfRule>
    <cfRule type="cellIs" dxfId="784" priority="141" operator="equal">
      <formula>"M"</formula>
    </cfRule>
  </conditionalFormatting>
  <conditionalFormatting sqref="T9:T14">
    <cfRule type="cellIs" dxfId="783" priority="134" operator="equal">
      <formula>"B"</formula>
    </cfRule>
    <cfRule type="cellIs" dxfId="782" priority="135" operator="equal">
      <formula>0</formula>
    </cfRule>
    <cfRule type="cellIs" dxfId="781" priority="136" operator="equal">
      <formula>"NB"</formula>
    </cfRule>
    <cfRule type="cellIs" dxfId="780" priority="137" operator="equal">
      <formula>"M"</formula>
    </cfRule>
  </conditionalFormatting>
  <conditionalFormatting sqref="V6:V7 V18:V22 V27:V35">
    <cfRule type="cellIs" dxfId="779" priority="130" operator="equal">
      <formula>"B"</formula>
    </cfRule>
    <cfRule type="cellIs" dxfId="778" priority="131" operator="equal">
      <formula>0</formula>
    </cfRule>
    <cfRule type="cellIs" dxfId="777" priority="132" operator="equal">
      <formula>"NB"</formula>
    </cfRule>
    <cfRule type="cellIs" dxfId="776" priority="133" operator="equal">
      <formula>"M"</formula>
    </cfRule>
  </conditionalFormatting>
  <conditionalFormatting sqref="V9:V14">
    <cfRule type="cellIs" dxfId="775" priority="127" stopIfTrue="1" operator="equal">
      <formula>"B"</formula>
    </cfRule>
    <cfRule type="cellIs" dxfId="774" priority="128" stopIfTrue="1" operator="equal">
      <formula>"M"</formula>
    </cfRule>
    <cfRule type="cellIs" dxfId="773" priority="129" stopIfTrue="1" operator="between">
      <formula>"NB"</formula>
      <formula>"NB^"</formula>
    </cfRule>
  </conditionalFormatting>
  <conditionalFormatting sqref="V15:V17">
    <cfRule type="cellIs" dxfId="772" priority="123" operator="equal">
      <formula>"B"</formula>
    </cfRule>
    <cfRule type="cellIs" dxfId="771" priority="124" operator="equal">
      <formula>0</formula>
    </cfRule>
    <cfRule type="cellIs" dxfId="770" priority="125" operator="equal">
      <formula>"NB"</formula>
    </cfRule>
    <cfRule type="cellIs" dxfId="769" priority="126" operator="equal">
      <formula>"M"</formula>
    </cfRule>
  </conditionalFormatting>
  <conditionalFormatting sqref="V8">
    <cfRule type="cellIs" dxfId="768" priority="119" operator="equal">
      <formula>"B"</formula>
    </cfRule>
    <cfRule type="cellIs" dxfId="767" priority="120" operator="equal">
      <formula>0</formula>
    </cfRule>
    <cfRule type="cellIs" dxfId="766" priority="121" operator="equal">
      <formula>"NB"</formula>
    </cfRule>
    <cfRule type="cellIs" dxfId="765" priority="122" operator="equal">
      <formula>"M"</formula>
    </cfRule>
  </conditionalFormatting>
  <conditionalFormatting sqref="V23:V26">
    <cfRule type="cellIs" dxfId="764" priority="115" operator="equal">
      <formula>"B"</formula>
    </cfRule>
    <cfRule type="cellIs" dxfId="763" priority="116" operator="equal">
      <formula>0</formula>
    </cfRule>
    <cfRule type="cellIs" dxfId="762" priority="117" operator="equal">
      <formula>"NB"</formula>
    </cfRule>
    <cfRule type="cellIs" dxfId="761" priority="118" operator="equal">
      <formula>"M"</formula>
    </cfRule>
  </conditionalFormatting>
  <conditionalFormatting sqref="W6:W7 W18:W22 W27:W35">
    <cfRule type="cellIs" dxfId="760" priority="111" operator="equal">
      <formula>"B"</formula>
    </cfRule>
    <cfRule type="cellIs" dxfId="759" priority="112" operator="equal">
      <formula>0</formula>
    </cfRule>
    <cfRule type="cellIs" dxfId="758" priority="113" operator="equal">
      <formula>"NB"</formula>
    </cfRule>
    <cfRule type="cellIs" dxfId="757" priority="114" operator="equal">
      <formula>"M"</formula>
    </cfRule>
  </conditionalFormatting>
  <conditionalFormatting sqref="W9:W14">
    <cfRule type="cellIs" dxfId="756" priority="108" stopIfTrue="1" operator="equal">
      <formula>"B"</formula>
    </cfRule>
    <cfRule type="cellIs" dxfId="755" priority="109" stopIfTrue="1" operator="equal">
      <formula>"M"</formula>
    </cfRule>
    <cfRule type="cellIs" dxfId="754" priority="110" stopIfTrue="1" operator="between">
      <formula>"NB"</formula>
      <formula>"NB^"</formula>
    </cfRule>
  </conditionalFormatting>
  <conditionalFormatting sqref="W15:W17">
    <cfRule type="cellIs" dxfId="753" priority="104" operator="equal">
      <formula>"B"</formula>
    </cfRule>
    <cfRule type="cellIs" dxfId="752" priority="105" operator="equal">
      <formula>0</formula>
    </cfRule>
    <cfRule type="cellIs" dxfId="751" priority="106" operator="equal">
      <formula>"NB"</formula>
    </cfRule>
    <cfRule type="cellIs" dxfId="750" priority="107" operator="equal">
      <formula>"M"</formula>
    </cfRule>
  </conditionalFormatting>
  <conditionalFormatting sqref="W8">
    <cfRule type="cellIs" dxfId="749" priority="100" operator="equal">
      <formula>"B"</formula>
    </cfRule>
    <cfRule type="cellIs" dxfId="748" priority="101" operator="equal">
      <formula>0</formula>
    </cfRule>
    <cfRule type="cellIs" dxfId="747" priority="102" operator="equal">
      <formula>"NB"</formula>
    </cfRule>
    <cfRule type="cellIs" dxfId="746" priority="103" operator="equal">
      <formula>"M"</formula>
    </cfRule>
  </conditionalFormatting>
  <conditionalFormatting sqref="W23:W26">
    <cfRule type="cellIs" dxfId="745" priority="96" operator="equal">
      <formula>"B"</formula>
    </cfRule>
    <cfRule type="cellIs" dxfId="744" priority="97" operator="equal">
      <formula>0</formula>
    </cfRule>
    <cfRule type="cellIs" dxfId="743" priority="98" operator="equal">
      <formula>"NB"</formula>
    </cfRule>
    <cfRule type="cellIs" dxfId="742" priority="99" operator="equal">
      <formula>"M"</formula>
    </cfRule>
  </conditionalFormatting>
  <conditionalFormatting sqref="X6:AA7 X18:AA22 X27:AA35">
    <cfRule type="cellIs" dxfId="741" priority="92" operator="equal">
      <formula>"B"</formula>
    </cfRule>
    <cfRule type="cellIs" dxfId="740" priority="93" operator="equal">
      <formula>0</formula>
    </cfRule>
    <cfRule type="cellIs" dxfId="739" priority="94" operator="equal">
      <formula>"NB"</formula>
    </cfRule>
    <cfRule type="cellIs" dxfId="738" priority="95" operator="equal">
      <formula>"M"</formula>
    </cfRule>
  </conditionalFormatting>
  <conditionalFormatting sqref="X9:AA14">
    <cfRule type="cellIs" dxfId="737" priority="89" stopIfTrue="1" operator="equal">
      <formula>"B"</formula>
    </cfRule>
    <cfRule type="cellIs" dxfId="736" priority="90" stopIfTrue="1" operator="equal">
      <formula>"M"</formula>
    </cfRule>
    <cfRule type="cellIs" dxfId="735" priority="91" stopIfTrue="1" operator="between">
      <formula>"NB"</formula>
      <formula>"NB^"</formula>
    </cfRule>
  </conditionalFormatting>
  <conditionalFormatting sqref="X15:AA17">
    <cfRule type="cellIs" dxfId="734" priority="85" operator="equal">
      <formula>"B"</formula>
    </cfRule>
    <cfRule type="cellIs" dxfId="733" priority="86" operator="equal">
      <formula>0</formula>
    </cfRule>
    <cfRule type="cellIs" dxfId="732" priority="87" operator="equal">
      <formula>"NB"</formula>
    </cfRule>
    <cfRule type="cellIs" dxfId="731" priority="88" operator="equal">
      <formula>"M"</formula>
    </cfRule>
  </conditionalFormatting>
  <conditionalFormatting sqref="X8:AA8">
    <cfRule type="cellIs" dxfId="730" priority="81" operator="equal">
      <formula>"B"</formula>
    </cfRule>
    <cfRule type="cellIs" dxfId="729" priority="82" operator="equal">
      <formula>0</formula>
    </cfRule>
    <cfRule type="cellIs" dxfId="728" priority="83" operator="equal">
      <formula>"NB"</formula>
    </cfRule>
    <cfRule type="cellIs" dxfId="727" priority="84" operator="equal">
      <formula>"M"</formula>
    </cfRule>
  </conditionalFormatting>
  <conditionalFormatting sqref="X23:AA26">
    <cfRule type="cellIs" dxfId="726" priority="77" operator="equal">
      <formula>"B"</formula>
    </cfRule>
    <cfRule type="cellIs" dxfId="725" priority="78" operator="equal">
      <formula>0</formula>
    </cfRule>
    <cfRule type="cellIs" dxfId="724" priority="79" operator="equal">
      <formula>"NB"</formula>
    </cfRule>
    <cfRule type="cellIs" dxfId="723" priority="80" operator="equal">
      <formula>"M"</formula>
    </cfRule>
  </conditionalFormatting>
  <conditionalFormatting sqref="AB6:AB7 AB18:AB22 AB27:AB35">
    <cfRule type="cellIs" dxfId="722" priority="73" operator="equal">
      <formula>"B"</formula>
    </cfRule>
    <cfRule type="cellIs" dxfId="721" priority="74" operator="equal">
      <formula>0</formula>
    </cfRule>
    <cfRule type="cellIs" dxfId="720" priority="75" operator="equal">
      <formula>"NB"</formula>
    </cfRule>
    <cfRule type="cellIs" dxfId="719" priority="76" operator="equal">
      <formula>"M"</formula>
    </cfRule>
  </conditionalFormatting>
  <conditionalFormatting sqref="AB9:AB14">
    <cfRule type="cellIs" dxfId="718" priority="70" stopIfTrue="1" operator="equal">
      <formula>"B"</formula>
    </cfRule>
    <cfRule type="cellIs" dxfId="717" priority="71" stopIfTrue="1" operator="equal">
      <formula>"M"</formula>
    </cfRule>
    <cfRule type="cellIs" dxfId="716" priority="72" stopIfTrue="1" operator="between">
      <formula>"NB"</formula>
      <formula>"NB^"</formula>
    </cfRule>
  </conditionalFormatting>
  <conditionalFormatting sqref="AB15:AB17">
    <cfRule type="cellIs" dxfId="715" priority="66" operator="equal">
      <formula>"B"</formula>
    </cfRule>
    <cfRule type="cellIs" dxfId="714" priority="67" operator="equal">
      <formula>0</formula>
    </cfRule>
    <cfRule type="cellIs" dxfId="713" priority="68" operator="equal">
      <formula>"NB"</formula>
    </cfRule>
    <cfRule type="cellIs" dxfId="712" priority="69" operator="equal">
      <formula>"M"</formula>
    </cfRule>
  </conditionalFormatting>
  <conditionalFormatting sqref="AB8">
    <cfRule type="cellIs" dxfId="711" priority="62" operator="equal">
      <formula>"B"</formula>
    </cfRule>
    <cfRule type="cellIs" dxfId="710" priority="63" operator="equal">
      <formula>0</formula>
    </cfRule>
    <cfRule type="cellIs" dxfId="709" priority="64" operator="equal">
      <formula>"NB"</formula>
    </cfRule>
    <cfRule type="cellIs" dxfId="708" priority="65" operator="equal">
      <formula>"M"</formula>
    </cfRule>
  </conditionalFormatting>
  <conditionalFormatting sqref="AB23:AB26">
    <cfRule type="cellIs" dxfId="707" priority="58" operator="equal">
      <formula>"B"</formula>
    </cfRule>
    <cfRule type="cellIs" dxfId="706" priority="59" operator="equal">
      <formula>0</formula>
    </cfRule>
    <cfRule type="cellIs" dxfId="705" priority="60" operator="equal">
      <formula>"NB"</formula>
    </cfRule>
    <cfRule type="cellIs" dxfId="704" priority="61" operator="equal">
      <formula>"M"</formula>
    </cfRule>
  </conditionalFormatting>
  <conditionalFormatting sqref="AC6:AC7 AC18:AC22 AC27:AC35">
    <cfRule type="cellIs" dxfId="703" priority="54" operator="equal">
      <formula>"B"</formula>
    </cfRule>
    <cfRule type="cellIs" dxfId="702" priority="55" operator="equal">
      <formula>0</formula>
    </cfRule>
    <cfRule type="cellIs" dxfId="701" priority="56" operator="equal">
      <formula>"NB"</formula>
    </cfRule>
    <cfRule type="cellIs" dxfId="700" priority="57" operator="equal">
      <formula>"M"</formula>
    </cfRule>
  </conditionalFormatting>
  <conditionalFormatting sqref="AC9:AC14">
    <cfRule type="cellIs" dxfId="699" priority="51" stopIfTrue="1" operator="equal">
      <formula>"B"</formula>
    </cfRule>
    <cfRule type="cellIs" dxfId="698" priority="52" stopIfTrue="1" operator="equal">
      <formula>"M"</formula>
    </cfRule>
    <cfRule type="cellIs" dxfId="697" priority="53" stopIfTrue="1" operator="between">
      <formula>"NB"</formula>
      <formula>"NB^"</formula>
    </cfRule>
  </conditionalFormatting>
  <conditionalFormatting sqref="AC15:AC17">
    <cfRule type="cellIs" dxfId="696" priority="47" operator="equal">
      <formula>"B"</formula>
    </cfRule>
    <cfRule type="cellIs" dxfId="695" priority="48" operator="equal">
      <formula>0</formula>
    </cfRule>
    <cfRule type="cellIs" dxfId="694" priority="49" operator="equal">
      <formula>"NB"</formula>
    </cfRule>
    <cfRule type="cellIs" dxfId="693" priority="50" operator="equal">
      <formula>"M"</formula>
    </cfRule>
  </conditionalFormatting>
  <conditionalFormatting sqref="AC8">
    <cfRule type="cellIs" dxfId="692" priority="43" operator="equal">
      <formula>"B"</formula>
    </cfRule>
    <cfRule type="cellIs" dxfId="691" priority="44" operator="equal">
      <formula>0</formula>
    </cfRule>
    <cfRule type="cellIs" dxfId="690" priority="45" operator="equal">
      <formula>"NB"</formula>
    </cfRule>
    <cfRule type="cellIs" dxfId="689" priority="46" operator="equal">
      <formula>"M"</formula>
    </cfRule>
  </conditionalFormatting>
  <conditionalFormatting sqref="AC23:AC26">
    <cfRule type="cellIs" dxfId="688" priority="39" operator="equal">
      <formula>"B"</formula>
    </cfRule>
    <cfRule type="cellIs" dxfId="687" priority="40" operator="equal">
      <formula>0</formula>
    </cfRule>
    <cfRule type="cellIs" dxfId="686" priority="41" operator="equal">
      <formula>"NB"</formula>
    </cfRule>
    <cfRule type="cellIs" dxfId="685" priority="42" operator="equal">
      <formula>"M"</formula>
    </cfRule>
  </conditionalFormatting>
  <conditionalFormatting sqref="AD6:AD7 AE7:AF7 AD18:AF22 AD27:AF35">
    <cfRule type="cellIs" dxfId="684" priority="35" operator="equal">
      <formula>"B"</formula>
    </cfRule>
    <cfRule type="cellIs" dxfId="683" priority="36" operator="equal">
      <formula>0</formula>
    </cfRule>
    <cfRule type="cellIs" dxfId="682" priority="37" operator="equal">
      <formula>"NB"</formula>
    </cfRule>
    <cfRule type="cellIs" dxfId="681" priority="38" operator="equal">
      <formula>"M"</formula>
    </cfRule>
  </conditionalFormatting>
  <conditionalFormatting sqref="AD9:AF14">
    <cfRule type="cellIs" dxfId="680" priority="32" stopIfTrue="1" operator="equal">
      <formula>"B"</formula>
    </cfRule>
    <cfRule type="cellIs" dxfId="679" priority="33" stopIfTrue="1" operator="equal">
      <formula>"M"</formula>
    </cfRule>
    <cfRule type="cellIs" dxfId="678" priority="34" stopIfTrue="1" operator="between">
      <formula>"NB"</formula>
      <formula>"NB^"</formula>
    </cfRule>
  </conditionalFormatting>
  <conditionalFormatting sqref="AD15:AF17">
    <cfRule type="cellIs" dxfId="677" priority="28" operator="equal">
      <formula>"B"</formula>
    </cfRule>
    <cfRule type="cellIs" dxfId="676" priority="29" operator="equal">
      <formula>0</formula>
    </cfRule>
    <cfRule type="cellIs" dxfId="675" priority="30" operator="equal">
      <formula>"NB"</formula>
    </cfRule>
    <cfRule type="cellIs" dxfId="674" priority="31" operator="equal">
      <formula>"M"</formula>
    </cfRule>
  </conditionalFormatting>
  <conditionalFormatting sqref="AD8:AF8">
    <cfRule type="cellIs" dxfId="673" priority="24" operator="equal">
      <formula>"B"</formula>
    </cfRule>
    <cfRule type="cellIs" dxfId="672" priority="25" operator="equal">
      <formula>0</formula>
    </cfRule>
    <cfRule type="cellIs" dxfId="671" priority="26" operator="equal">
      <formula>"NB"</formula>
    </cfRule>
    <cfRule type="cellIs" dxfId="670" priority="27" operator="equal">
      <formula>"M"</formula>
    </cfRule>
  </conditionalFormatting>
  <conditionalFormatting sqref="AD23:AF26">
    <cfRule type="cellIs" dxfId="669" priority="20" operator="equal">
      <formula>"B"</formula>
    </cfRule>
    <cfRule type="cellIs" dxfId="668" priority="21" operator="equal">
      <formula>0</formula>
    </cfRule>
    <cfRule type="cellIs" dxfId="667" priority="22" operator="equal">
      <formula>"NB"</formula>
    </cfRule>
    <cfRule type="cellIs" dxfId="666" priority="23" operator="equal">
      <formula>"M"</formula>
    </cfRule>
  </conditionalFormatting>
  <conditionalFormatting sqref="AG6:AH7 AG18:AH22 AG27:AH35">
    <cfRule type="cellIs" dxfId="665" priority="16" operator="equal">
      <formula>"B"</formula>
    </cfRule>
    <cfRule type="cellIs" dxfId="664" priority="17" operator="equal">
      <formula>0</formula>
    </cfRule>
    <cfRule type="cellIs" dxfId="663" priority="18" operator="equal">
      <formula>"NB"</formula>
    </cfRule>
    <cfRule type="cellIs" dxfId="662" priority="19" operator="equal">
      <formula>"M"</formula>
    </cfRule>
  </conditionalFormatting>
  <conditionalFormatting sqref="AG9:AH14">
    <cfRule type="cellIs" dxfId="661" priority="13" stopIfTrue="1" operator="equal">
      <formula>"B"</formula>
    </cfRule>
    <cfRule type="cellIs" dxfId="660" priority="14" stopIfTrue="1" operator="equal">
      <formula>"M"</formula>
    </cfRule>
    <cfRule type="cellIs" dxfId="659" priority="15" stopIfTrue="1" operator="between">
      <formula>"NB"</formula>
      <formula>"NB^"</formula>
    </cfRule>
  </conditionalFormatting>
  <conditionalFormatting sqref="AG15:AH17">
    <cfRule type="cellIs" dxfId="658" priority="9" operator="equal">
      <formula>"B"</formula>
    </cfRule>
    <cfRule type="cellIs" dxfId="657" priority="10" operator="equal">
      <formula>0</formula>
    </cfRule>
    <cfRule type="cellIs" dxfId="656" priority="11" operator="equal">
      <formula>"NB"</formula>
    </cfRule>
    <cfRule type="cellIs" dxfId="655" priority="12" operator="equal">
      <formula>"M"</formula>
    </cfRule>
  </conditionalFormatting>
  <conditionalFormatting sqref="AG8:AH8">
    <cfRule type="cellIs" dxfId="654" priority="5" operator="equal">
      <formula>"B"</formula>
    </cfRule>
    <cfRule type="cellIs" dxfId="653" priority="6" operator="equal">
      <formula>0</formula>
    </cfRule>
    <cfRule type="cellIs" dxfId="652" priority="7" operator="equal">
      <formula>"NB"</formula>
    </cfRule>
    <cfRule type="cellIs" dxfId="651" priority="8" operator="equal">
      <formula>"M"</formula>
    </cfRule>
  </conditionalFormatting>
  <conditionalFormatting sqref="AG23:AH26">
    <cfRule type="cellIs" dxfId="650" priority="1" operator="equal">
      <formula>"B"</formula>
    </cfRule>
    <cfRule type="cellIs" dxfId="649" priority="2" operator="equal">
      <formula>0</formula>
    </cfRule>
    <cfRule type="cellIs" dxfId="648" priority="3" operator="equal">
      <formula>"NB"</formula>
    </cfRule>
    <cfRule type="cellIs" dxfId="647" priority="4" operator="equal">
      <formula>"M"</formula>
    </cfRule>
  </conditionalFormatting>
  <pageMargins left="0.75" right="0.75" top="1" bottom="1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R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2" width="5.7109375" customWidth="1"/>
    <col min="33" max="33" width="7.42578125" customWidth="1"/>
    <col min="34" max="34" width="8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91</v>
      </c>
    </row>
    <row r="3" spans="1:44" ht="23.25" x14ac:dyDescent="0.35">
      <c r="A3" s="1" t="s">
        <v>2</v>
      </c>
      <c r="P3" s="4" t="s">
        <v>111</v>
      </c>
    </row>
    <row r="4" spans="1:44" s="5" customFormat="1" ht="15.75" customHeight="1" thickBot="1" x14ac:dyDescent="0.3">
      <c r="C4" s="6"/>
      <c r="G4" s="6"/>
      <c r="I4" s="5" t="s">
        <v>3</v>
      </c>
      <c r="J4" s="5" t="s">
        <v>3</v>
      </c>
      <c r="L4" s="6"/>
      <c r="N4" s="5" t="s">
        <v>4</v>
      </c>
      <c r="P4" s="5" t="s">
        <v>3</v>
      </c>
      <c r="Q4" s="5" t="s">
        <v>3</v>
      </c>
      <c r="W4" s="5" t="s">
        <v>3</v>
      </c>
      <c r="X4" s="5" t="s">
        <v>3</v>
      </c>
      <c r="AB4" s="5" t="s">
        <v>4</v>
      </c>
      <c r="AC4" s="5" t="s">
        <v>4</v>
      </c>
      <c r="AD4" s="5" t="s">
        <v>3</v>
      </c>
      <c r="AE4" s="5" t="s">
        <v>3</v>
      </c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1" t="s">
        <v>6</v>
      </c>
      <c r="AI5"/>
      <c r="AJ5"/>
      <c r="AK5"/>
      <c r="AL5"/>
      <c r="AM5"/>
      <c r="AN5"/>
      <c r="AO5"/>
      <c r="AP5"/>
      <c r="AQ5"/>
    </row>
    <row r="6" spans="1:44" ht="15.75" customHeight="1" x14ac:dyDescent="0.25">
      <c r="A6" s="156" t="s">
        <v>7</v>
      </c>
      <c r="B6" s="157"/>
      <c r="C6" s="158"/>
      <c r="D6" s="72" t="s">
        <v>8</v>
      </c>
      <c r="E6" s="72" t="s">
        <v>8</v>
      </c>
      <c r="F6" s="72" t="s">
        <v>8</v>
      </c>
      <c r="G6" s="72" t="s">
        <v>8</v>
      </c>
      <c r="H6" s="72" t="s">
        <v>8</v>
      </c>
      <c r="I6" s="72" t="s">
        <v>9</v>
      </c>
      <c r="J6" s="72" t="s">
        <v>9</v>
      </c>
      <c r="K6" s="72" t="s">
        <v>9</v>
      </c>
      <c r="L6" s="72" t="s">
        <v>8</v>
      </c>
      <c r="M6" s="72" t="s">
        <v>9</v>
      </c>
      <c r="N6" s="72" t="s">
        <v>22</v>
      </c>
      <c r="O6" s="72" t="s">
        <v>22</v>
      </c>
      <c r="P6" s="72" t="s">
        <v>22</v>
      </c>
      <c r="Q6" s="72" t="s">
        <v>22</v>
      </c>
      <c r="R6" s="72" t="s">
        <v>9</v>
      </c>
      <c r="S6" s="72" t="s">
        <v>9</v>
      </c>
      <c r="T6" s="72" t="s">
        <v>9</v>
      </c>
      <c r="U6" s="72" t="s">
        <v>9</v>
      </c>
      <c r="V6" s="72" t="s">
        <v>8</v>
      </c>
      <c r="W6" s="72" t="s">
        <v>9</v>
      </c>
      <c r="X6" s="72" t="s">
        <v>22</v>
      </c>
      <c r="Y6" s="72" t="s">
        <v>9</v>
      </c>
      <c r="Z6" s="72" t="s">
        <v>8</v>
      </c>
      <c r="AA6" s="72" t="s">
        <v>9</v>
      </c>
      <c r="AB6" s="72" t="s">
        <v>22</v>
      </c>
      <c r="AC6" s="72" t="s">
        <v>22</v>
      </c>
      <c r="AD6" s="72" t="s">
        <v>22</v>
      </c>
      <c r="AE6" s="72" t="s">
        <v>22</v>
      </c>
      <c r="AF6" s="72" t="s">
        <v>22</v>
      </c>
      <c r="AG6" s="72" t="s">
        <v>22</v>
      </c>
      <c r="AH6" s="13">
        <f t="shared" ref="AH6:AH35" si="0">IF(COUNTA(D6:AG6)&gt;0,(COUNTA(D6:AG6)-COUNTIF(D6:AG6,"NB")-COUNTIF(D6:AG6,"DN")-COUNTIF(D6:AG6,"An")-COUNTIF(D6:AG6,"NB^")-COUNTIF(D6:AG6,0))/COUNTA(D6:AG6),"")</f>
        <v>1</v>
      </c>
      <c r="AI6"/>
    </row>
    <row r="7" spans="1:44" ht="15.75" customHeight="1" x14ac:dyDescent="0.25">
      <c r="A7" s="180" t="s">
        <v>10</v>
      </c>
      <c r="B7" s="181"/>
      <c r="C7" s="182"/>
      <c r="D7" s="73" t="s">
        <v>11</v>
      </c>
      <c r="E7" s="73" t="s">
        <v>11</v>
      </c>
      <c r="F7" s="73" t="s">
        <v>11</v>
      </c>
      <c r="G7" s="73" t="s">
        <v>11</v>
      </c>
      <c r="H7" s="73" t="s">
        <v>11</v>
      </c>
      <c r="I7" s="73" t="s">
        <v>11</v>
      </c>
      <c r="J7" s="73" t="s">
        <v>11</v>
      </c>
      <c r="K7" s="73" t="s">
        <v>11</v>
      </c>
      <c r="L7" s="73" t="s">
        <v>11</v>
      </c>
      <c r="M7" s="73" t="s">
        <v>11</v>
      </c>
      <c r="N7" s="73" t="s">
        <v>22</v>
      </c>
      <c r="O7" s="73" t="s">
        <v>22</v>
      </c>
      <c r="P7" s="73" t="s">
        <v>22</v>
      </c>
      <c r="Q7" s="73" t="s">
        <v>22</v>
      </c>
      <c r="R7" s="73" t="s">
        <v>11</v>
      </c>
      <c r="S7" s="73" t="s">
        <v>11</v>
      </c>
      <c r="T7" s="73" t="s">
        <v>11</v>
      </c>
      <c r="U7" s="73" t="s">
        <v>11</v>
      </c>
      <c r="V7" s="73" t="s">
        <v>11</v>
      </c>
      <c r="W7" s="73" t="s">
        <v>11</v>
      </c>
      <c r="X7" s="73" t="s">
        <v>22</v>
      </c>
      <c r="Y7" s="73" t="s">
        <v>11</v>
      </c>
      <c r="Z7" s="14" t="s">
        <v>11</v>
      </c>
      <c r="AA7" s="14" t="s">
        <v>11</v>
      </c>
      <c r="AB7" s="14" t="s">
        <v>22</v>
      </c>
      <c r="AC7" s="14" t="s">
        <v>22</v>
      </c>
      <c r="AD7" s="14" t="s">
        <v>22</v>
      </c>
      <c r="AE7" s="14" t="s">
        <v>22</v>
      </c>
      <c r="AF7" s="14" t="s">
        <v>22</v>
      </c>
      <c r="AG7" s="14" t="s">
        <v>22</v>
      </c>
      <c r="AH7" s="17">
        <f t="shared" si="0"/>
        <v>1</v>
      </c>
      <c r="AI7"/>
    </row>
    <row r="8" spans="1:44" ht="15.75" customHeight="1" x14ac:dyDescent="0.25">
      <c r="A8" s="162" t="s">
        <v>94</v>
      </c>
      <c r="B8" s="163"/>
      <c r="C8" s="164"/>
      <c r="D8" s="18" t="s">
        <v>11</v>
      </c>
      <c r="E8" s="18" t="s">
        <v>11</v>
      </c>
      <c r="F8" s="18" t="s">
        <v>11</v>
      </c>
      <c r="G8" s="18" t="s">
        <v>11</v>
      </c>
      <c r="H8" s="18" t="s">
        <v>11</v>
      </c>
      <c r="I8" s="18" t="s">
        <v>11</v>
      </c>
      <c r="J8" s="18" t="s">
        <v>11</v>
      </c>
      <c r="K8" s="18" t="s">
        <v>11</v>
      </c>
      <c r="L8" s="18" t="s">
        <v>11</v>
      </c>
      <c r="M8" s="18" t="s">
        <v>11</v>
      </c>
      <c r="N8" s="18" t="s">
        <v>22</v>
      </c>
      <c r="O8" s="18" t="s">
        <v>22</v>
      </c>
      <c r="P8" s="18" t="s">
        <v>22</v>
      </c>
      <c r="Q8" s="18" t="s">
        <v>22</v>
      </c>
      <c r="R8" s="18" t="s">
        <v>11</v>
      </c>
      <c r="S8" s="18" t="s">
        <v>11</v>
      </c>
      <c r="T8" s="18" t="s">
        <v>11</v>
      </c>
      <c r="U8" s="18" t="s">
        <v>11</v>
      </c>
      <c r="V8" s="18" t="s">
        <v>11</v>
      </c>
      <c r="W8" s="18" t="s">
        <v>11</v>
      </c>
      <c r="X8" s="18" t="s">
        <v>11</v>
      </c>
      <c r="Y8" s="18" t="s">
        <v>11</v>
      </c>
      <c r="Z8" s="18" t="s">
        <v>11</v>
      </c>
      <c r="AA8" s="18" t="s">
        <v>11</v>
      </c>
      <c r="AB8" s="18" t="s">
        <v>22</v>
      </c>
      <c r="AC8" s="18" t="s">
        <v>22</v>
      </c>
      <c r="AD8" s="18" t="s">
        <v>22</v>
      </c>
      <c r="AE8" s="18" t="s">
        <v>22</v>
      </c>
      <c r="AF8" s="18" t="s">
        <v>22</v>
      </c>
      <c r="AG8" s="18" t="s">
        <v>22</v>
      </c>
      <c r="AH8" s="19">
        <f t="shared" si="0"/>
        <v>1</v>
      </c>
      <c r="AI8"/>
    </row>
    <row r="9" spans="1:44" ht="15.75" customHeight="1" x14ac:dyDescent="0.25">
      <c r="A9" s="174" t="s">
        <v>13</v>
      </c>
      <c r="B9" s="175"/>
      <c r="C9" s="176"/>
      <c r="D9" s="79" t="s">
        <v>11</v>
      </c>
      <c r="E9" s="79" t="s">
        <v>11</v>
      </c>
      <c r="F9" s="79" t="s">
        <v>11</v>
      </c>
      <c r="G9" s="79" t="s">
        <v>11</v>
      </c>
      <c r="H9" s="79" t="s">
        <v>11</v>
      </c>
      <c r="I9" s="79" t="s">
        <v>11</v>
      </c>
      <c r="J9" s="79" t="s">
        <v>11</v>
      </c>
      <c r="K9" s="79" t="s">
        <v>11</v>
      </c>
      <c r="L9" s="79" t="s">
        <v>11</v>
      </c>
      <c r="M9" s="79" t="s">
        <v>11</v>
      </c>
      <c r="N9" s="20" t="s">
        <v>11</v>
      </c>
      <c r="O9" s="20" t="s">
        <v>11</v>
      </c>
      <c r="P9" s="20" t="s">
        <v>12</v>
      </c>
      <c r="Q9" s="20" t="s">
        <v>12</v>
      </c>
      <c r="R9" s="20" t="s">
        <v>12</v>
      </c>
      <c r="S9" s="20" t="s">
        <v>11</v>
      </c>
      <c r="T9" s="20" t="s">
        <v>11</v>
      </c>
      <c r="U9" s="20" t="s">
        <v>11</v>
      </c>
      <c r="V9" s="20" t="s">
        <v>11</v>
      </c>
      <c r="W9" s="20" t="s">
        <v>11</v>
      </c>
      <c r="X9" s="20" t="s">
        <v>12</v>
      </c>
      <c r="Y9" s="20" t="s">
        <v>11</v>
      </c>
      <c r="Z9" s="20" t="s">
        <v>11</v>
      </c>
      <c r="AA9" s="20" t="s">
        <v>11</v>
      </c>
      <c r="AB9" s="20" t="s">
        <v>12</v>
      </c>
      <c r="AC9" s="20" t="s">
        <v>11</v>
      </c>
      <c r="AD9" s="20" t="s">
        <v>12</v>
      </c>
      <c r="AE9" s="20" t="s">
        <v>12</v>
      </c>
      <c r="AF9" s="20" t="s">
        <v>11</v>
      </c>
      <c r="AG9" s="20" t="s">
        <v>11</v>
      </c>
      <c r="AH9" s="13">
        <f t="shared" si="0"/>
        <v>0.76666666666666672</v>
      </c>
      <c r="AI9"/>
    </row>
    <row r="10" spans="1:44" ht="15.75" customHeight="1" x14ac:dyDescent="0.25">
      <c r="A10" s="177" t="s">
        <v>14</v>
      </c>
      <c r="B10" s="178"/>
      <c r="C10" s="179"/>
      <c r="D10" s="80" t="s">
        <v>11</v>
      </c>
      <c r="E10" s="80" t="s">
        <v>11</v>
      </c>
      <c r="F10" s="80" t="s">
        <v>11</v>
      </c>
      <c r="G10" s="80" t="s">
        <v>11</v>
      </c>
      <c r="H10" s="80" t="s">
        <v>11</v>
      </c>
      <c r="I10" s="80" t="s">
        <v>11</v>
      </c>
      <c r="J10" s="80" t="s">
        <v>11</v>
      </c>
      <c r="K10" s="80" t="s">
        <v>11</v>
      </c>
      <c r="L10" s="80" t="s">
        <v>11</v>
      </c>
      <c r="M10" s="80" t="s">
        <v>11</v>
      </c>
      <c r="N10" s="16" t="s">
        <v>11</v>
      </c>
      <c r="O10" s="16" t="s">
        <v>11</v>
      </c>
      <c r="P10" s="16" t="s">
        <v>12</v>
      </c>
      <c r="Q10" s="16" t="s">
        <v>12</v>
      </c>
      <c r="R10" s="16" t="s">
        <v>12</v>
      </c>
      <c r="S10" s="16" t="s">
        <v>11</v>
      </c>
      <c r="T10" s="16" t="s">
        <v>11</v>
      </c>
      <c r="U10" s="16" t="s">
        <v>11</v>
      </c>
      <c r="V10" s="16" t="s">
        <v>11</v>
      </c>
      <c r="W10" s="16" t="s">
        <v>11</v>
      </c>
      <c r="X10" s="16" t="s">
        <v>12</v>
      </c>
      <c r="Y10" s="16" t="s">
        <v>11</v>
      </c>
      <c r="Z10" s="16" t="s">
        <v>11</v>
      </c>
      <c r="AA10" s="16" t="s">
        <v>11</v>
      </c>
      <c r="AB10" s="16" t="s">
        <v>12</v>
      </c>
      <c r="AC10" s="16" t="s">
        <v>11</v>
      </c>
      <c r="AD10" s="16" t="s">
        <v>12</v>
      </c>
      <c r="AE10" s="16" t="s">
        <v>12</v>
      </c>
      <c r="AF10" s="16" t="s">
        <v>11</v>
      </c>
      <c r="AG10" s="16" t="s">
        <v>11</v>
      </c>
      <c r="AH10" s="21">
        <f t="shared" si="0"/>
        <v>0.76666666666666672</v>
      </c>
      <c r="AI10"/>
    </row>
    <row r="11" spans="1:44" ht="15.75" customHeight="1" x14ac:dyDescent="0.25">
      <c r="A11" s="177" t="s">
        <v>15</v>
      </c>
      <c r="B11" s="178"/>
      <c r="C11" s="179"/>
      <c r="D11" s="80" t="s">
        <v>11</v>
      </c>
      <c r="E11" s="80" t="s">
        <v>11</v>
      </c>
      <c r="F11" s="80" t="s">
        <v>11</v>
      </c>
      <c r="G11" s="80" t="s">
        <v>11</v>
      </c>
      <c r="H11" s="80" t="s">
        <v>11</v>
      </c>
      <c r="I11" s="80" t="s">
        <v>11</v>
      </c>
      <c r="J11" s="80" t="s">
        <v>11</v>
      </c>
      <c r="K11" s="80" t="s">
        <v>11</v>
      </c>
      <c r="L11" s="80" t="s">
        <v>11</v>
      </c>
      <c r="M11" s="80" t="s">
        <v>11</v>
      </c>
      <c r="N11" s="16" t="s">
        <v>11</v>
      </c>
      <c r="O11" s="16" t="s">
        <v>11</v>
      </c>
      <c r="P11" s="16" t="s">
        <v>12</v>
      </c>
      <c r="Q11" s="16" t="s">
        <v>12</v>
      </c>
      <c r="R11" s="16" t="s">
        <v>12</v>
      </c>
      <c r="S11" s="16" t="s">
        <v>11</v>
      </c>
      <c r="T11" s="16" t="s">
        <v>11</v>
      </c>
      <c r="U11" s="16" t="s">
        <v>11</v>
      </c>
      <c r="V11" s="16" t="s">
        <v>11</v>
      </c>
      <c r="W11" s="16" t="s">
        <v>11</v>
      </c>
      <c r="X11" s="16" t="s">
        <v>12</v>
      </c>
      <c r="Y11" s="16" t="s">
        <v>12</v>
      </c>
      <c r="Z11" s="16" t="s">
        <v>12</v>
      </c>
      <c r="AA11" s="16" t="s">
        <v>11</v>
      </c>
      <c r="AB11" s="16" t="s">
        <v>12</v>
      </c>
      <c r="AC11" s="16" t="s">
        <v>11</v>
      </c>
      <c r="AD11" s="16" t="s">
        <v>12</v>
      </c>
      <c r="AE11" s="16" t="s">
        <v>12</v>
      </c>
      <c r="AF11" s="16" t="s">
        <v>11</v>
      </c>
      <c r="AG11" s="16" t="s">
        <v>11</v>
      </c>
      <c r="AH11" s="21">
        <f t="shared" si="0"/>
        <v>0.7</v>
      </c>
      <c r="AI11"/>
    </row>
    <row r="12" spans="1:44" ht="15.75" customHeight="1" x14ac:dyDescent="0.25">
      <c r="A12" s="177" t="s">
        <v>16</v>
      </c>
      <c r="B12" s="178"/>
      <c r="C12" s="179"/>
      <c r="D12" s="80" t="s">
        <v>11</v>
      </c>
      <c r="E12" s="80" t="s">
        <v>11</v>
      </c>
      <c r="F12" s="80" t="s">
        <v>11</v>
      </c>
      <c r="G12" s="80" t="s">
        <v>11</v>
      </c>
      <c r="H12" s="80" t="s">
        <v>11</v>
      </c>
      <c r="I12" s="80" t="s">
        <v>11</v>
      </c>
      <c r="J12" s="80" t="s">
        <v>11</v>
      </c>
      <c r="K12" s="80" t="s">
        <v>11</v>
      </c>
      <c r="L12" s="80" t="s">
        <v>11</v>
      </c>
      <c r="M12" s="80" t="s">
        <v>11</v>
      </c>
      <c r="N12" s="16" t="s">
        <v>11</v>
      </c>
      <c r="O12" s="16" t="s">
        <v>11</v>
      </c>
      <c r="P12" s="16" t="s">
        <v>12</v>
      </c>
      <c r="Q12" s="16" t="s">
        <v>12</v>
      </c>
      <c r="R12" s="16" t="s">
        <v>12</v>
      </c>
      <c r="S12" s="16" t="s">
        <v>11</v>
      </c>
      <c r="T12" s="16" t="s">
        <v>11</v>
      </c>
      <c r="U12" s="16" t="s">
        <v>11</v>
      </c>
      <c r="V12" s="16" t="s">
        <v>11</v>
      </c>
      <c r="W12" s="16" t="s">
        <v>11</v>
      </c>
      <c r="X12" s="16" t="s">
        <v>12</v>
      </c>
      <c r="Y12" s="16" t="s">
        <v>12</v>
      </c>
      <c r="Z12" s="16" t="s">
        <v>12</v>
      </c>
      <c r="AA12" s="16" t="s">
        <v>11</v>
      </c>
      <c r="AB12" s="16" t="s">
        <v>12</v>
      </c>
      <c r="AC12" s="16" t="s">
        <v>11</v>
      </c>
      <c r="AD12" s="16" t="s">
        <v>12</v>
      </c>
      <c r="AE12" s="16" t="s">
        <v>12</v>
      </c>
      <c r="AF12" s="16" t="s">
        <v>11</v>
      </c>
      <c r="AG12" s="16" t="s">
        <v>11</v>
      </c>
      <c r="AH12" s="21">
        <f t="shared" si="0"/>
        <v>0.7</v>
      </c>
      <c r="AI12"/>
    </row>
    <row r="13" spans="1:44" ht="15.75" customHeight="1" x14ac:dyDescent="0.25">
      <c r="A13" s="177" t="s">
        <v>17</v>
      </c>
      <c r="B13" s="178"/>
      <c r="C13" s="179"/>
      <c r="D13" s="80" t="s">
        <v>11</v>
      </c>
      <c r="E13" s="80" t="s">
        <v>11</v>
      </c>
      <c r="F13" s="80" t="s">
        <v>11</v>
      </c>
      <c r="G13" s="80" t="s">
        <v>11</v>
      </c>
      <c r="H13" s="80" t="s">
        <v>11</v>
      </c>
      <c r="I13" s="80" t="s">
        <v>11</v>
      </c>
      <c r="J13" s="80" t="s">
        <v>11</v>
      </c>
      <c r="K13" s="80" t="s">
        <v>11</v>
      </c>
      <c r="L13" s="80" t="s">
        <v>11</v>
      </c>
      <c r="M13" s="80" t="s">
        <v>11</v>
      </c>
      <c r="N13" s="16" t="s">
        <v>11</v>
      </c>
      <c r="O13" s="16" t="s">
        <v>11</v>
      </c>
      <c r="P13" s="16" t="s">
        <v>12</v>
      </c>
      <c r="Q13" s="16" t="s">
        <v>12</v>
      </c>
      <c r="R13" s="16" t="s">
        <v>12</v>
      </c>
      <c r="S13" s="16" t="s">
        <v>11</v>
      </c>
      <c r="T13" s="16" t="s">
        <v>11</v>
      </c>
      <c r="U13" s="16" t="s">
        <v>11</v>
      </c>
      <c r="V13" s="16" t="s">
        <v>11</v>
      </c>
      <c r="W13" s="16" t="s">
        <v>11</v>
      </c>
      <c r="X13" s="16" t="s">
        <v>12</v>
      </c>
      <c r="Y13" s="16" t="s">
        <v>12</v>
      </c>
      <c r="Z13" s="16" t="s">
        <v>12</v>
      </c>
      <c r="AA13" s="16" t="s">
        <v>11</v>
      </c>
      <c r="AB13" s="16" t="s">
        <v>12</v>
      </c>
      <c r="AC13" s="16" t="s">
        <v>11</v>
      </c>
      <c r="AD13" s="16" t="s">
        <v>12</v>
      </c>
      <c r="AE13" s="16" t="s">
        <v>12</v>
      </c>
      <c r="AF13" s="16" t="s">
        <v>11</v>
      </c>
      <c r="AG13" s="16" t="s">
        <v>11</v>
      </c>
      <c r="AH13" s="21">
        <f t="shared" si="0"/>
        <v>0.7</v>
      </c>
      <c r="AI13"/>
    </row>
    <row r="14" spans="1:44" ht="15.75" customHeight="1" x14ac:dyDescent="0.25">
      <c r="A14" s="180" t="s">
        <v>18</v>
      </c>
      <c r="B14" s="181"/>
      <c r="C14" s="182"/>
      <c r="D14" s="73" t="s">
        <v>11</v>
      </c>
      <c r="E14" s="73" t="s">
        <v>11</v>
      </c>
      <c r="F14" s="73" t="s">
        <v>11</v>
      </c>
      <c r="G14" s="73" t="s">
        <v>11</v>
      </c>
      <c r="H14" s="73" t="s">
        <v>11</v>
      </c>
      <c r="I14" s="73" t="s">
        <v>11</v>
      </c>
      <c r="J14" s="73" t="s">
        <v>11</v>
      </c>
      <c r="K14" s="73" t="s">
        <v>11</v>
      </c>
      <c r="L14" s="73" t="s">
        <v>11</v>
      </c>
      <c r="M14" s="73" t="s">
        <v>11</v>
      </c>
      <c r="N14" s="73" t="s">
        <v>11</v>
      </c>
      <c r="O14" s="73" t="s">
        <v>11</v>
      </c>
      <c r="P14" s="73" t="s">
        <v>12</v>
      </c>
      <c r="Q14" s="73" t="s">
        <v>12</v>
      </c>
      <c r="R14" s="73" t="s">
        <v>12</v>
      </c>
      <c r="S14" s="73" t="s">
        <v>11</v>
      </c>
      <c r="T14" s="73" t="s">
        <v>11</v>
      </c>
      <c r="U14" s="73" t="s">
        <v>11</v>
      </c>
      <c r="V14" s="73" t="s">
        <v>11</v>
      </c>
      <c r="W14" s="73" t="s">
        <v>11</v>
      </c>
      <c r="X14" s="73" t="s">
        <v>12</v>
      </c>
      <c r="Y14" s="73" t="s">
        <v>12</v>
      </c>
      <c r="Z14" s="73" t="s">
        <v>12</v>
      </c>
      <c r="AA14" s="73" t="s">
        <v>11</v>
      </c>
      <c r="AB14" s="73" t="s">
        <v>12</v>
      </c>
      <c r="AC14" s="73" t="s">
        <v>11</v>
      </c>
      <c r="AD14" s="73" t="s">
        <v>12</v>
      </c>
      <c r="AE14" s="73" t="s">
        <v>12</v>
      </c>
      <c r="AF14" s="16" t="s">
        <v>11</v>
      </c>
      <c r="AG14" s="16" t="s">
        <v>11</v>
      </c>
      <c r="AH14" s="17">
        <f t="shared" si="0"/>
        <v>0.7</v>
      </c>
      <c r="AI14"/>
    </row>
    <row r="15" spans="1:44" ht="15.75" customHeight="1" x14ac:dyDescent="0.25">
      <c r="A15" s="174" t="s">
        <v>19</v>
      </c>
      <c r="B15" s="175"/>
      <c r="C15" s="176"/>
      <c r="D15" s="20" t="s">
        <v>11</v>
      </c>
      <c r="E15" s="20" t="s">
        <v>11</v>
      </c>
      <c r="F15" s="20" t="s">
        <v>11</v>
      </c>
      <c r="G15" s="20" t="s">
        <v>11</v>
      </c>
      <c r="H15" s="20" t="s">
        <v>11</v>
      </c>
      <c r="I15" s="20" t="s">
        <v>11</v>
      </c>
      <c r="J15" s="20" t="s">
        <v>11</v>
      </c>
      <c r="K15" s="20" t="s">
        <v>11</v>
      </c>
      <c r="L15" s="20" t="s">
        <v>11</v>
      </c>
      <c r="M15" s="20" t="s">
        <v>12</v>
      </c>
      <c r="N15" s="20" t="s">
        <v>11</v>
      </c>
      <c r="O15" s="20" t="s">
        <v>11</v>
      </c>
      <c r="P15" s="20" t="s">
        <v>11</v>
      </c>
      <c r="Q15" s="20" t="s">
        <v>11</v>
      </c>
      <c r="R15" s="20" t="s">
        <v>11</v>
      </c>
      <c r="S15" s="20" t="s">
        <v>11</v>
      </c>
      <c r="T15" s="20" t="s">
        <v>11</v>
      </c>
      <c r="U15" s="20" t="s">
        <v>11</v>
      </c>
      <c r="V15" s="20" t="s">
        <v>11</v>
      </c>
      <c r="W15" s="20" t="s">
        <v>11</v>
      </c>
      <c r="X15" s="20" t="s">
        <v>11</v>
      </c>
      <c r="Y15" s="20" t="s">
        <v>11</v>
      </c>
      <c r="Z15" s="20" t="s">
        <v>11</v>
      </c>
      <c r="AA15" s="20" t="s">
        <v>11</v>
      </c>
      <c r="AB15" s="20" t="s">
        <v>12</v>
      </c>
      <c r="AC15" s="20" t="s">
        <v>12</v>
      </c>
      <c r="AD15" s="20" t="s">
        <v>12</v>
      </c>
      <c r="AE15" s="20" t="s">
        <v>12</v>
      </c>
      <c r="AF15" s="20" t="s">
        <v>12</v>
      </c>
      <c r="AG15" s="20" t="s">
        <v>12</v>
      </c>
      <c r="AH15" s="13">
        <f t="shared" si="0"/>
        <v>0.76666666666666672</v>
      </c>
      <c r="AI15"/>
    </row>
    <row r="16" spans="1:44" ht="15.75" customHeight="1" x14ac:dyDescent="0.25">
      <c r="A16" s="177" t="s">
        <v>20</v>
      </c>
      <c r="B16" s="178"/>
      <c r="C16" s="179"/>
      <c r="D16" s="16" t="s">
        <v>11</v>
      </c>
      <c r="E16" s="16" t="s">
        <v>11</v>
      </c>
      <c r="F16" s="16" t="s">
        <v>11</v>
      </c>
      <c r="G16" s="16" t="s">
        <v>11</v>
      </c>
      <c r="H16" s="16" t="s">
        <v>11</v>
      </c>
      <c r="I16" s="16" t="s">
        <v>11</v>
      </c>
      <c r="J16" s="16" t="s">
        <v>11</v>
      </c>
      <c r="K16" s="16" t="s">
        <v>11</v>
      </c>
      <c r="L16" s="16" t="s">
        <v>11</v>
      </c>
      <c r="M16" s="16" t="s">
        <v>12</v>
      </c>
      <c r="N16" s="16" t="s">
        <v>11</v>
      </c>
      <c r="O16" s="16" t="s">
        <v>11</v>
      </c>
      <c r="P16" s="16" t="s">
        <v>11</v>
      </c>
      <c r="Q16" s="16" t="s">
        <v>11</v>
      </c>
      <c r="R16" s="16" t="s">
        <v>11</v>
      </c>
      <c r="S16" s="16" t="s">
        <v>11</v>
      </c>
      <c r="T16" s="16" t="s">
        <v>11</v>
      </c>
      <c r="U16" s="16" t="s">
        <v>11</v>
      </c>
      <c r="V16" s="16" t="s">
        <v>11</v>
      </c>
      <c r="W16" s="16" t="s">
        <v>11</v>
      </c>
      <c r="X16" s="16" t="s">
        <v>11</v>
      </c>
      <c r="Y16" s="16" t="s">
        <v>11</v>
      </c>
      <c r="Z16" s="16" t="s">
        <v>11</v>
      </c>
      <c r="AA16" s="16" t="s">
        <v>11</v>
      </c>
      <c r="AB16" s="16" t="s">
        <v>12</v>
      </c>
      <c r="AC16" s="16" t="s">
        <v>12</v>
      </c>
      <c r="AD16" s="16" t="s">
        <v>12</v>
      </c>
      <c r="AE16" s="16" t="s">
        <v>12</v>
      </c>
      <c r="AF16" s="16" t="s">
        <v>12</v>
      </c>
      <c r="AG16" s="16" t="s">
        <v>12</v>
      </c>
      <c r="AH16" s="21">
        <f t="shared" si="0"/>
        <v>0.76666666666666672</v>
      </c>
      <c r="AI16"/>
    </row>
    <row r="17" spans="1:35" ht="15.75" customHeight="1" x14ac:dyDescent="0.25">
      <c r="A17" s="180" t="s">
        <v>92</v>
      </c>
      <c r="B17" s="181"/>
      <c r="C17" s="182"/>
      <c r="D17" s="16" t="s">
        <v>11</v>
      </c>
      <c r="E17" s="16" t="s">
        <v>11</v>
      </c>
      <c r="F17" s="16" t="s">
        <v>11</v>
      </c>
      <c r="G17" s="16" t="s">
        <v>11</v>
      </c>
      <c r="H17" s="16" t="s">
        <v>11</v>
      </c>
      <c r="I17" s="16" t="s">
        <v>11</v>
      </c>
      <c r="J17" s="16" t="s">
        <v>11</v>
      </c>
      <c r="K17" s="16" t="s">
        <v>11</v>
      </c>
      <c r="L17" s="16" t="s">
        <v>11</v>
      </c>
      <c r="M17" s="16" t="s">
        <v>12</v>
      </c>
      <c r="N17" s="16" t="s">
        <v>11</v>
      </c>
      <c r="O17" s="16" t="s">
        <v>11</v>
      </c>
      <c r="P17" s="16" t="s">
        <v>11</v>
      </c>
      <c r="Q17" s="16" t="s">
        <v>11</v>
      </c>
      <c r="R17" s="16" t="s">
        <v>11</v>
      </c>
      <c r="S17" s="16" t="s">
        <v>11</v>
      </c>
      <c r="T17" s="16" t="s">
        <v>11</v>
      </c>
      <c r="U17" s="16" t="s">
        <v>11</v>
      </c>
      <c r="V17" s="16" t="s">
        <v>11</v>
      </c>
      <c r="W17" s="16" t="s">
        <v>11</v>
      </c>
      <c r="X17" s="16" t="s">
        <v>11</v>
      </c>
      <c r="Y17" s="16" t="s">
        <v>11</v>
      </c>
      <c r="Z17" s="16" t="s">
        <v>11</v>
      </c>
      <c r="AA17" s="16" t="s">
        <v>11</v>
      </c>
      <c r="AB17" s="16" t="s">
        <v>12</v>
      </c>
      <c r="AC17" s="16" t="s">
        <v>12</v>
      </c>
      <c r="AD17" s="16" t="s">
        <v>12</v>
      </c>
      <c r="AE17" s="16" t="s">
        <v>12</v>
      </c>
      <c r="AF17" s="16" t="s">
        <v>12</v>
      </c>
      <c r="AG17" s="16" t="s">
        <v>12</v>
      </c>
      <c r="AH17" s="17">
        <f t="shared" si="0"/>
        <v>0.76666666666666672</v>
      </c>
      <c r="AI17"/>
    </row>
    <row r="18" spans="1:35" ht="15.75" customHeight="1" x14ac:dyDescent="0.25">
      <c r="A18" s="174" t="s">
        <v>21</v>
      </c>
      <c r="B18" s="175"/>
      <c r="C18" s="176"/>
      <c r="D18" s="79" t="s">
        <v>11</v>
      </c>
      <c r="E18" s="79" t="s">
        <v>11</v>
      </c>
      <c r="F18" s="79" t="s">
        <v>11</v>
      </c>
      <c r="G18" s="79" t="s">
        <v>11</v>
      </c>
      <c r="H18" s="79" t="s">
        <v>11</v>
      </c>
      <c r="I18" s="79" t="s">
        <v>11</v>
      </c>
      <c r="J18" s="79" t="s">
        <v>11</v>
      </c>
      <c r="K18" s="79" t="s">
        <v>11</v>
      </c>
      <c r="L18" s="79" t="s">
        <v>11</v>
      </c>
      <c r="M18" s="79" t="s">
        <v>22</v>
      </c>
      <c r="N18" s="79" t="s">
        <v>11</v>
      </c>
      <c r="O18" s="79" t="s">
        <v>11</v>
      </c>
      <c r="P18" s="79" t="s">
        <v>11</v>
      </c>
      <c r="Q18" s="79" t="s">
        <v>11</v>
      </c>
      <c r="R18" s="79" t="s">
        <v>11</v>
      </c>
      <c r="S18" s="79" t="s">
        <v>11</v>
      </c>
      <c r="T18" s="79" t="s">
        <v>11</v>
      </c>
      <c r="U18" s="79" t="s">
        <v>11</v>
      </c>
      <c r="V18" s="79" t="s">
        <v>11</v>
      </c>
      <c r="W18" s="79" t="s">
        <v>11</v>
      </c>
      <c r="X18" s="79" t="s">
        <v>11</v>
      </c>
      <c r="Y18" s="79" t="s">
        <v>11</v>
      </c>
      <c r="Z18" s="22" t="s">
        <v>11</v>
      </c>
      <c r="AA18" s="22" t="s">
        <v>11</v>
      </c>
      <c r="AB18" s="22" t="s">
        <v>11</v>
      </c>
      <c r="AC18" s="22" t="s">
        <v>11</v>
      </c>
      <c r="AD18" s="22" t="s">
        <v>11</v>
      </c>
      <c r="AE18" s="22" t="s">
        <v>22</v>
      </c>
      <c r="AF18" s="22" t="s">
        <v>22</v>
      </c>
      <c r="AG18" s="22" t="s">
        <v>22</v>
      </c>
      <c r="AH18" s="13">
        <f t="shared" si="0"/>
        <v>1</v>
      </c>
      <c r="AI18"/>
    </row>
    <row r="19" spans="1:35" ht="15.75" customHeight="1" x14ac:dyDescent="0.25">
      <c r="A19" s="177" t="s">
        <v>23</v>
      </c>
      <c r="B19" s="178"/>
      <c r="C19" s="179"/>
      <c r="D19" s="16" t="s">
        <v>11</v>
      </c>
      <c r="E19" s="16" t="s">
        <v>11</v>
      </c>
      <c r="F19" s="16" t="s">
        <v>11</v>
      </c>
      <c r="G19" s="16" t="s">
        <v>11</v>
      </c>
      <c r="H19" s="16" t="s">
        <v>11</v>
      </c>
      <c r="I19" s="16" t="s">
        <v>11</v>
      </c>
      <c r="J19" s="16" t="s">
        <v>11</v>
      </c>
      <c r="K19" s="16" t="s">
        <v>11</v>
      </c>
      <c r="L19" s="16" t="s">
        <v>11</v>
      </c>
      <c r="M19" s="16" t="s">
        <v>22</v>
      </c>
      <c r="N19" s="80" t="s">
        <v>11</v>
      </c>
      <c r="O19" s="80" t="s">
        <v>11</v>
      </c>
      <c r="P19" s="80" t="s">
        <v>11</v>
      </c>
      <c r="Q19" s="80" t="s">
        <v>11</v>
      </c>
      <c r="R19" s="80" t="s">
        <v>11</v>
      </c>
      <c r="S19" s="80" t="s">
        <v>11</v>
      </c>
      <c r="T19" s="80" t="s">
        <v>11</v>
      </c>
      <c r="U19" s="80" t="s">
        <v>11</v>
      </c>
      <c r="V19" s="80" t="s">
        <v>11</v>
      </c>
      <c r="W19" s="80" t="s">
        <v>11</v>
      </c>
      <c r="X19" s="80" t="s">
        <v>11</v>
      </c>
      <c r="Y19" s="80" t="s">
        <v>11</v>
      </c>
      <c r="Z19" s="23" t="s">
        <v>11</v>
      </c>
      <c r="AA19" s="23" t="s">
        <v>11</v>
      </c>
      <c r="AB19" s="23" t="s">
        <v>11</v>
      </c>
      <c r="AC19" s="23" t="s">
        <v>11</v>
      </c>
      <c r="AD19" s="23" t="s">
        <v>11</v>
      </c>
      <c r="AE19" s="23" t="s">
        <v>22</v>
      </c>
      <c r="AF19" s="23" t="s">
        <v>22</v>
      </c>
      <c r="AG19" s="23" t="s">
        <v>22</v>
      </c>
      <c r="AH19" s="21">
        <f t="shared" si="0"/>
        <v>1</v>
      </c>
      <c r="AI19"/>
    </row>
    <row r="20" spans="1:35" ht="15.75" customHeight="1" x14ac:dyDescent="0.25">
      <c r="A20" s="177" t="s">
        <v>24</v>
      </c>
      <c r="B20" s="178"/>
      <c r="C20" s="179"/>
      <c r="D20" s="16" t="s">
        <v>11</v>
      </c>
      <c r="E20" s="16" t="s">
        <v>11</v>
      </c>
      <c r="F20" s="16" t="s">
        <v>11</v>
      </c>
      <c r="G20" s="16" t="s">
        <v>11</v>
      </c>
      <c r="H20" s="16" t="s">
        <v>11</v>
      </c>
      <c r="I20" s="16" t="s">
        <v>11</v>
      </c>
      <c r="J20" s="16" t="s">
        <v>11</v>
      </c>
      <c r="K20" s="16" t="s">
        <v>11</v>
      </c>
      <c r="L20" s="16" t="s">
        <v>11</v>
      </c>
      <c r="M20" s="16" t="s">
        <v>22</v>
      </c>
      <c r="N20" s="80" t="s">
        <v>11</v>
      </c>
      <c r="O20" s="80" t="s">
        <v>11</v>
      </c>
      <c r="P20" s="80" t="s">
        <v>11</v>
      </c>
      <c r="Q20" s="80" t="s">
        <v>11</v>
      </c>
      <c r="R20" s="80" t="s">
        <v>11</v>
      </c>
      <c r="S20" s="80" t="s">
        <v>11</v>
      </c>
      <c r="T20" s="80" t="s">
        <v>11</v>
      </c>
      <c r="U20" s="80" t="s">
        <v>11</v>
      </c>
      <c r="V20" s="80" t="s">
        <v>11</v>
      </c>
      <c r="W20" s="80" t="s">
        <v>11</v>
      </c>
      <c r="X20" s="80" t="s">
        <v>11</v>
      </c>
      <c r="Y20" s="80" t="s">
        <v>11</v>
      </c>
      <c r="Z20" s="23" t="s">
        <v>11</v>
      </c>
      <c r="AA20" s="23" t="s">
        <v>11</v>
      </c>
      <c r="AB20" s="23" t="s">
        <v>11</v>
      </c>
      <c r="AC20" s="23" t="s">
        <v>11</v>
      </c>
      <c r="AD20" s="23" t="s">
        <v>11</v>
      </c>
      <c r="AE20" s="23" t="s">
        <v>22</v>
      </c>
      <c r="AF20" s="23" t="s">
        <v>22</v>
      </c>
      <c r="AG20" s="23" t="s">
        <v>22</v>
      </c>
      <c r="AH20" s="21">
        <f t="shared" si="0"/>
        <v>1</v>
      </c>
      <c r="AI20"/>
    </row>
    <row r="21" spans="1:35" ht="15.75" customHeight="1" x14ac:dyDescent="0.25">
      <c r="A21" s="180" t="s">
        <v>25</v>
      </c>
      <c r="B21" s="181"/>
      <c r="C21" s="182"/>
      <c r="D21" s="73" t="s">
        <v>11</v>
      </c>
      <c r="E21" s="73" t="s">
        <v>11</v>
      </c>
      <c r="F21" s="73" t="s">
        <v>11</v>
      </c>
      <c r="G21" s="73" t="s">
        <v>11</v>
      </c>
      <c r="H21" s="73" t="s">
        <v>11</v>
      </c>
      <c r="I21" s="73" t="s">
        <v>11</v>
      </c>
      <c r="J21" s="73" t="s">
        <v>11</v>
      </c>
      <c r="K21" s="73" t="s">
        <v>11</v>
      </c>
      <c r="L21" s="73" t="s">
        <v>11</v>
      </c>
      <c r="M21" s="73" t="s">
        <v>22</v>
      </c>
      <c r="N21" s="73" t="s">
        <v>11</v>
      </c>
      <c r="O21" s="73" t="s">
        <v>11</v>
      </c>
      <c r="P21" s="73" t="s">
        <v>11</v>
      </c>
      <c r="Q21" s="73" t="s">
        <v>11</v>
      </c>
      <c r="R21" s="73" t="s">
        <v>11</v>
      </c>
      <c r="S21" s="73" t="s">
        <v>11</v>
      </c>
      <c r="T21" s="73" t="s">
        <v>11</v>
      </c>
      <c r="U21" s="73" t="s">
        <v>11</v>
      </c>
      <c r="V21" s="73" t="s">
        <v>11</v>
      </c>
      <c r="W21" s="73" t="s">
        <v>11</v>
      </c>
      <c r="X21" s="73" t="s">
        <v>11</v>
      </c>
      <c r="Y21" s="73" t="s">
        <v>11</v>
      </c>
      <c r="Z21" s="14" t="s">
        <v>11</v>
      </c>
      <c r="AA21" s="14" t="s">
        <v>11</v>
      </c>
      <c r="AB21" s="14" t="s">
        <v>11</v>
      </c>
      <c r="AC21" s="14" t="s">
        <v>11</v>
      </c>
      <c r="AD21" s="14" t="s">
        <v>11</v>
      </c>
      <c r="AE21" s="14" t="s">
        <v>22</v>
      </c>
      <c r="AF21" s="14" t="s">
        <v>22</v>
      </c>
      <c r="AG21" s="14" t="s">
        <v>22</v>
      </c>
      <c r="AH21" s="17">
        <f t="shared" si="0"/>
        <v>1</v>
      </c>
      <c r="AI21"/>
    </row>
    <row r="22" spans="1:35" ht="15.75" customHeight="1" x14ac:dyDescent="0.25">
      <c r="A22" s="162" t="s">
        <v>26</v>
      </c>
      <c r="B22" s="163"/>
      <c r="C22" s="164"/>
      <c r="D22" s="81" t="s">
        <v>11</v>
      </c>
      <c r="E22" s="81" t="s">
        <v>11</v>
      </c>
      <c r="F22" s="81" t="s">
        <v>11</v>
      </c>
      <c r="G22" s="81" t="s">
        <v>12</v>
      </c>
      <c r="H22" s="81" t="s">
        <v>12</v>
      </c>
      <c r="I22" s="81" t="s">
        <v>12</v>
      </c>
      <c r="J22" s="81" t="s">
        <v>12</v>
      </c>
      <c r="K22" s="81" t="s">
        <v>12</v>
      </c>
      <c r="L22" s="81" t="s">
        <v>12</v>
      </c>
      <c r="M22" s="81" t="s">
        <v>11</v>
      </c>
      <c r="N22" s="81" t="s">
        <v>11</v>
      </c>
      <c r="O22" s="81" t="s">
        <v>11</v>
      </c>
      <c r="P22" s="81" t="s">
        <v>11</v>
      </c>
      <c r="Q22" s="81" t="s">
        <v>11</v>
      </c>
      <c r="R22" s="24" t="s">
        <v>12</v>
      </c>
      <c r="S22" s="24" t="s">
        <v>12</v>
      </c>
      <c r="T22" s="24" t="s">
        <v>11</v>
      </c>
      <c r="U22" s="24" t="s">
        <v>12</v>
      </c>
      <c r="V22" s="24" t="s">
        <v>12</v>
      </c>
      <c r="W22" s="24" t="s">
        <v>12</v>
      </c>
      <c r="X22" s="24" t="s">
        <v>11</v>
      </c>
      <c r="Y22" s="24" t="s">
        <v>11</v>
      </c>
      <c r="Z22" s="24" t="s">
        <v>12</v>
      </c>
      <c r="AA22" s="24" t="s">
        <v>11</v>
      </c>
      <c r="AB22" s="24" t="s">
        <v>11</v>
      </c>
      <c r="AC22" s="24" t="s">
        <v>11</v>
      </c>
      <c r="AD22" s="24" t="s">
        <v>12</v>
      </c>
      <c r="AE22" s="24" t="s">
        <v>12</v>
      </c>
      <c r="AF22" s="24" t="s">
        <v>12</v>
      </c>
      <c r="AG22" s="24" t="s">
        <v>12</v>
      </c>
      <c r="AH22" s="19">
        <f t="shared" si="0"/>
        <v>0.46666666666666667</v>
      </c>
      <c r="AI22"/>
    </row>
    <row r="23" spans="1:35" ht="15.75" customHeight="1" x14ac:dyDescent="0.25">
      <c r="A23" s="174" t="s">
        <v>27</v>
      </c>
      <c r="B23" s="175"/>
      <c r="C23" s="176"/>
      <c r="D23" s="20" t="s">
        <v>11</v>
      </c>
      <c r="E23" s="20" t="s">
        <v>11</v>
      </c>
      <c r="F23" s="20" t="s">
        <v>11</v>
      </c>
      <c r="G23" s="20" t="s">
        <v>11</v>
      </c>
      <c r="H23" s="20" t="s">
        <v>11</v>
      </c>
      <c r="I23" s="20" t="s">
        <v>11</v>
      </c>
      <c r="J23" s="20" t="s">
        <v>11</v>
      </c>
      <c r="K23" s="20" t="s">
        <v>11</v>
      </c>
      <c r="L23" s="20" t="s">
        <v>11</v>
      </c>
      <c r="M23" s="20" t="s">
        <v>11</v>
      </c>
      <c r="N23" s="20" t="s">
        <v>11</v>
      </c>
      <c r="O23" s="20" t="s">
        <v>11</v>
      </c>
      <c r="P23" s="20" t="s">
        <v>11</v>
      </c>
      <c r="Q23" s="20" t="s">
        <v>11</v>
      </c>
      <c r="R23" s="79" t="s">
        <v>11</v>
      </c>
      <c r="S23" s="79" t="s">
        <v>11</v>
      </c>
      <c r="T23" s="79" t="s">
        <v>11</v>
      </c>
      <c r="U23" s="79" t="s">
        <v>11</v>
      </c>
      <c r="V23" s="79" t="s">
        <v>11</v>
      </c>
      <c r="W23" s="79" t="s">
        <v>11</v>
      </c>
      <c r="X23" s="79" t="s">
        <v>12</v>
      </c>
      <c r="Y23" s="79" t="s">
        <v>12</v>
      </c>
      <c r="Z23" s="79" t="s">
        <v>11</v>
      </c>
      <c r="AA23" s="79" t="s">
        <v>12</v>
      </c>
      <c r="AB23" s="22" t="s">
        <v>12</v>
      </c>
      <c r="AC23" s="22" t="s">
        <v>12</v>
      </c>
      <c r="AD23" s="22" t="s">
        <v>11</v>
      </c>
      <c r="AE23" s="22" t="s">
        <v>11</v>
      </c>
      <c r="AF23" s="22" t="s">
        <v>11</v>
      </c>
      <c r="AG23" s="22" t="s">
        <v>12</v>
      </c>
      <c r="AH23" s="13">
        <f t="shared" si="0"/>
        <v>0.8</v>
      </c>
      <c r="AI23"/>
    </row>
    <row r="24" spans="1:35" ht="15.75" customHeight="1" x14ac:dyDescent="0.25">
      <c r="A24" s="180" t="s">
        <v>28</v>
      </c>
      <c r="B24" s="181"/>
      <c r="C24" s="182"/>
      <c r="D24" s="15" t="s">
        <v>11</v>
      </c>
      <c r="E24" s="15" t="s">
        <v>11</v>
      </c>
      <c r="F24" s="15" t="s">
        <v>11</v>
      </c>
      <c r="G24" s="15" t="s">
        <v>11</v>
      </c>
      <c r="H24" s="15" t="s">
        <v>11</v>
      </c>
      <c r="I24" s="15" t="s">
        <v>11</v>
      </c>
      <c r="J24" s="15" t="s">
        <v>11</v>
      </c>
      <c r="K24" s="15" t="s">
        <v>11</v>
      </c>
      <c r="L24" s="15" t="s">
        <v>11</v>
      </c>
      <c r="M24" s="15" t="s">
        <v>11</v>
      </c>
      <c r="N24" s="15" t="s">
        <v>12</v>
      </c>
      <c r="O24" s="15" t="s">
        <v>12</v>
      </c>
      <c r="P24" s="15" t="s">
        <v>11</v>
      </c>
      <c r="Q24" s="15" t="s">
        <v>11</v>
      </c>
      <c r="R24" s="73" t="s">
        <v>11</v>
      </c>
      <c r="S24" s="73" t="s">
        <v>11</v>
      </c>
      <c r="T24" s="73" t="s">
        <v>11</v>
      </c>
      <c r="U24" s="73" t="s">
        <v>11</v>
      </c>
      <c r="V24" s="73" t="s">
        <v>11</v>
      </c>
      <c r="W24" s="73" t="s">
        <v>11</v>
      </c>
      <c r="X24" s="73" t="s">
        <v>12</v>
      </c>
      <c r="Y24" s="73" t="s">
        <v>12</v>
      </c>
      <c r="Z24" s="73" t="s">
        <v>11</v>
      </c>
      <c r="AA24" s="73" t="s">
        <v>12</v>
      </c>
      <c r="AB24" s="14" t="s">
        <v>12</v>
      </c>
      <c r="AC24" s="14" t="s">
        <v>12</v>
      </c>
      <c r="AD24" s="14" t="s">
        <v>11</v>
      </c>
      <c r="AE24" s="14" t="s">
        <v>11</v>
      </c>
      <c r="AF24" s="14" t="s">
        <v>11</v>
      </c>
      <c r="AG24" s="14" t="s">
        <v>12</v>
      </c>
      <c r="AH24" s="17">
        <f t="shared" si="0"/>
        <v>0.73333333333333328</v>
      </c>
      <c r="AI24"/>
    </row>
    <row r="25" spans="1:35" ht="15.75" customHeight="1" x14ac:dyDescent="0.25">
      <c r="A25" s="162" t="s">
        <v>29</v>
      </c>
      <c r="B25" s="163"/>
      <c r="C25" s="164"/>
      <c r="D25" s="25" t="s">
        <v>11</v>
      </c>
      <c r="E25" s="25" t="s">
        <v>11</v>
      </c>
      <c r="F25" s="25" t="s">
        <v>11</v>
      </c>
      <c r="G25" s="25" t="s">
        <v>11</v>
      </c>
      <c r="H25" s="25" t="s">
        <v>11</v>
      </c>
      <c r="I25" s="25" t="s">
        <v>11</v>
      </c>
      <c r="J25" s="25" t="s">
        <v>11</v>
      </c>
      <c r="K25" s="25" t="s">
        <v>11</v>
      </c>
      <c r="L25" s="25" t="s">
        <v>11</v>
      </c>
      <c r="M25" s="25" t="s">
        <v>11</v>
      </c>
      <c r="N25" s="25" t="s">
        <v>22</v>
      </c>
      <c r="O25" s="25" t="s">
        <v>11</v>
      </c>
      <c r="P25" s="25" t="s">
        <v>11</v>
      </c>
      <c r="Q25" s="25" t="s">
        <v>11</v>
      </c>
      <c r="R25" s="25" t="s">
        <v>11</v>
      </c>
      <c r="S25" s="25" t="s">
        <v>11</v>
      </c>
      <c r="T25" s="25" t="s">
        <v>11</v>
      </c>
      <c r="U25" s="25" t="s">
        <v>11</v>
      </c>
      <c r="V25" s="25" t="s">
        <v>11</v>
      </c>
      <c r="W25" s="25" t="s">
        <v>11</v>
      </c>
      <c r="X25" s="25" t="s">
        <v>22</v>
      </c>
      <c r="Y25" s="25" t="s">
        <v>11</v>
      </c>
      <c r="Z25" s="25" t="s">
        <v>11</v>
      </c>
      <c r="AA25" s="25" t="s">
        <v>11</v>
      </c>
      <c r="AB25" s="26" t="s">
        <v>11</v>
      </c>
      <c r="AC25" s="26" t="s">
        <v>11</v>
      </c>
      <c r="AD25" s="26" t="s">
        <v>22</v>
      </c>
      <c r="AE25" s="26" t="s">
        <v>22</v>
      </c>
      <c r="AF25" s="26" t="s">
        <v>22</v>
      </c>
      <c r="AG25" s="26" t="s">
        <v>22</v>
      </c>
      <c r="AH25" s="19">
        <f t="shared" si="0"/>
        <v>1</v>
      </c>
      <c r="AI25"/>
    </row>
    <row r="26" spans="1:35" ht="15.75" customHeight="1" x14ac:dyDescent="0.25">
      <c r="A26" s="162" t="s">
        <v>30</v>
      </c>
      <c r="B26" s="163"/>
      <c r="C26" s="164"/>
      <c r="D26" s="25" t="s">
        <v>11</v>
      </c>
      <c r="E26" s="25" t="s">
        <v>11</v>
      </c>
      <c r="F26" s="25" t="s">
        <v>11</v>
      </c>
      <c r="G26" s="25" t="s">
        <v>11</v>
      </c>
      <c r="H26" s="25" t="s">
        <v>11</v>
      </c>
      <c r="I26" s="25" t="s">
        <v>11</v>
      </c>
      <c r="J26" s="25" t="s">
        <v>11</v>
      </c>
      <c r="K26" s="25" t="s">
        <v>11</v>
      </c>
      <c r="L26" s="25" t="s">
        <v>11</v>
      </c>
      <c r="M26" s="25" t="s">
        <v>11</v>
      </c>
      <c r="N26" s="25" t="s">
        <v>22</v>
      </c>
      <c r="O26" s="25" t="s">
        <v>11</v>
      </c>
      <c r="P26" s="25" t="s">
        <v>11</v>
      </c>
      <c r="Q26" s="25" t="s">
        <v>11</v>
      </c>
      <c r="R26" s="81" t="s">
        <v>11</v>
      </c>
      <c r="S26" s="81" t="s">
        <v>11</v>
      </c>
      <c r="T26" s="81" t="s">
        <v>11</v>
      </c>
      <c r="U26" s="81" t="s">
        <v>11</v>
      </c>
      <c r="V26" s="81" t="s">
        <v>11</v>
      </c>
      <c r="W26" s="81" t="s">
        <v>11</v>
      </c>
      <c r="X26" s="81" t="s">
        <v>22</v>
      </c>
      <c r="Y26" s="81" t="s">
        <v>11</v>
      </c>
      <c r="Z26" s="81" t="s">
        <v>11</v>
      </c>
      <c r="AA26" s="81" t="s">
        <v>11</v>
      </c>
      <c r="AB26" s="81" t="s">
        <v>11</v>
      </c>
      <c r="AC26" s="81" t="s">
        <v>11</v>
      </c>
      <c r="AD26" s="81" t="s">
        <v>22</v>
      </c>
      <c r="AE26" s="81" t="s">
        <v>22</v>
      </c>
      <c r="AF26" s="81" t="s">
        <v>22</v>
      </c>
      <c r="AG26" s="81" t="s">
        <v>22</v>
      </c>
      <c r="AH26" s="19">
        <f t="shared" si="0"/>
        <v>1</v>
      </c>
      <c r="AI26"/>
    </row>
    <row r="27" spans="1:35" ht="15.75" customHeight="1" x14ac:dyDescent="0.25">
      <c r="A27" s="156" t="s">
        <v>31</v>
      </c>
      <c r="B27" s="157"/>
      <c r="C27" s="158"/>
      <c r="D27" s="72" t="s">
        <v>8</v>
      </c>
      <c r="E27" s="72" t="s">
        <v>8</v>
      </c>
      <c r="F27" s="72" t="s">
        <v>8</v>
      </c>
      <c r="G27" s="72" t="s">
        <v>8</v>
      </c>
      <c r="H27" s="72" t="s">
        <v>8</v>
      </c>
      <c r="I27" s="72" t="s">
        <v>8</v>
      </c>
      <c r="J27" s="72" t="s">
        <v>8</v>
      </c>
      <c r="K27" s="72" t="s">
        <v>9</v>
      </c>
      <c r="L27" s="72" t="s">
        <v>9</v>
      </c>
      <c r="M27" s="72" t="s">
        <v>9</v>
      </c>
      <c r="N27" s="72" t="s">
        <v>22</v>
      </c>
      <c r="O27" s="72" t="s">
        <v>22</v>
      </c>
      <c r="P27" s="72" t="s">
        <v>22</v>
      </c>
      <c r="Q27" s="72" t="s">
        <v>22</v>
      </c>
      <c r="R27" s="72" t="s">
        <v>9</v>
      </c>
      <c r="S27" s="72" t="s">
        <v>9</v>
      </c>
      <c r="T27" s="72" t="s">
        <v>9</v>
      </c>
      <c r="U27" s="72" t="s">
        <v>9</v>
      </c>
      <c r="V27" s="72" t="s">
        <v>8</v>
      </c>
      <c r="W27" s="72" t="s">
        <v>9</v>
      </c>
      <c r="X27" s="72" t="s">
        <v>22</v>
      </c>
      <c r="Y27" s="27" t="s">
        <v>9</v>
      </c>
      <c r="Z27" s="27" t="s">
        <v>8</v>
      </c>
      <c r="AA27" s="27" t="s">
        <v>9</v>
      </c>
      <c r="AB27" s="27" t="s">
        <v>22</v>
      </c>
      <c r="AC27" s="27" t="s">
        <v>22</v>
      </c>
      <c r="AD27" s="27" t="s">
        <v>22</v>
      </c>
      <c r="AE27" s="27" t="s">
        <v>22</v>
      </c>
      <c r="AF27" s="27" t="s">
        <v>22</v>
      </c>
      <c r="AG27" s="27" t="s">
        <v>22</v>
      </c>
      <c r="AH27" s="13">
        <f t="shared" si="0"/>
        <v>1</v>
      </c>
      <c r="AI27"/>
    </row>
    <row r="28" spans="1:35" ht="15.75" customHeight="1" x14ac:dyDescent="0.25">
      <c r="A28" s="183" t="s">
        <v>32</v>
      </c>
      <c r="B28" s="184"/>
      <c r="C28" s="185"/>
      <c r="D28" s="82">
        <v>2</v>
      </c>
      <c r="E28" s="82">
        <v>2</v>
      </c>
      <c r="F28" s="82">
        <v>2</v>
      </c>
      <c r="G28" s="82">
        <v>2</v>
      </c>
      <c r="H28" s="82">
        <v>2</v>
      </c>
      <c r="I28" s="82">
        <v>2</v>
      </c>
      <c r="J28" s="82">
        <v>2</v>
      </c>
      <c r="K28" s="82">
        <v>2</v>
      </c>
      <c r="L28" s="82" t="s">
        <v>113</v>
      </c>
      <c r="M28" s="82" t="s">
        <v>113</v>
      </c>
      <c r="N28" s="82" t="s">
        <v>113</v>
      </c>
      <c r="O28" s="82" t="s">
        <v>113</v>
      </c>
      <c r="P28" s="82">
        <v>2</v>
      </c>
      <c r="Q28" s="82">
        <v>2</v>
      </c>
      <c r="R28" s="28">
        <v>2</v>
      </c>
      <c r="S28" s="28" t="s">
        <v>114</v>
      </c>
      <c r="T28" s="28">
        <v>2</v>
      </c>
      <c r="U28" s="28">
        <v>2</v>
      </c>
      <c r="V28" s="28">
        <v>2</v>
      </c>
      <c r="W28" s="28">
        <v>0</v>
      </c>
      <c r="X28" s="28">
        <v>2</v>
      </c>
      <c r="Y28" s="28">
        <v>0</v>
      </c>
      <c r="Z28" s="28" t="s">
        <v>114</v>
      </c>
      <c r="AA28" s="28" t="s">
        <v>114</v>
      </c>
      <c r="AB28" s="28" t="s">
        <v>114</v>
      </c>
      <c r="AC28" s="28" t="s">
        <v>114</v>
      </c>
      <c r="AD28" s="28">
        <v>2</v>
      </c>
      <c r="AE28" s="28">
        <v>2</v>
      </c>
      <c r="AF28" s="28">
        <v>2</v>
      </c>
      <c r="AG28" s="28" t="s">
        <v>114</v>
      </c>
      <c r="AH28" s="17">
        <f t="shared" si="0"/>
        <v>0.93333333333333335</v>
      </c>
      <c r="AI28"/>
    </row>
    <row r="29" spans="1:35" ht="15.75" customHeight="1" x14ac:dyDescent="0.25">
      <c r="A29" s="171" t="s">
        <v>97</v>
      </c>
      <c r="B29" s="172"/>
      <c r="C29" s="173"/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 t="s">
        <v>181</v>
      </c>
      <c r="J29" s="29" t="s">
        <v>180</v>
      </c>
      <c r="K29" s="83" t="s">
        <v>182</v>
      </c>
      <c r="L29" s="83">
        <v>0</v>
      </c>
      <c r="M29" s="83">
        <v>0</v>
      </c>
      <c r="N29" s="83">
        <v>0</v>
      </c>
      <c r="O29" s="83">
        <v>0</v>
      </c>
      <c r="P29" s="83">
        <v>0</v>
      </c>
      <c r="Q29" s="83">
        <v>0</v>
      </c>
      <c r="R29" s="83">
        <v>0</v>
      </c>
      <c r="S29" s="83">
        <v>0</v>
      </c>
      <c r="T29" s="83">
        <v>0</v>
      </c>
      <c r="U29" s="83">
        <v>0</v>
      </c>
      <c r="V29" s="83">
        <v>0</v>
      </c>
      <c r="W29" s="83">
        <v>0</v>
      </c>
      <c r="X29" s="83">
        <v>0</v>
      </c>
      <c r="Y29" s="83">
        <v>0</v>
      </c>
      <c r="Z29" s="83">
        <v>0</v>
      </c>
      <c r="AA29" s="83">
        <v>0</v>
      </c>
      <c r="AB29" s="83">
        <v>0</v>
      </c>
      <c r="AC29" s="83">
        <v>0</v>
      </c>
      <c r="AD29" s="83">
        <v>0</v>
      </c>
      <c r="AE29" s="83">
        <v>0</v>
      </c>
      <c r="AF29" s="83">
        <v>0</v>
      </c>
      <c r="AG29" s="83">
        <v>0</v>
      </c>
      <c r="AH29" s="19">
        <f t="shared" si="0"/>
        <v>0.1</v>
      </c>
      <c r="AI29"/>
    </row>
    <row r="30" spans="1:35" ht="15.75" customHeight="1" x14ac:dyDescent="0.25">
      <c r="A30" s="153" t="s">
        <v>33</v>
      </c>
      <c r="B30" s="154"/>
      <c r="C30" s="155"/>
      <c r="D30" s="84" t="s">
        <v>8</v>
      </c>
      <c r="E30" s="84" t="s">
        <v>8</v>
      </c>
      <c r="F30" s="84" t="s">
        <v>8</v>
      </c>
      <c r="G30" s="84" t="s">
        <v>8</v>
      </c>
      <c r="H30" s="84" t="s">
        <v>8</v>
      </c>
      <c r="I30" s="84" t="s">
        <v>9</v>
      </c>
      <c r="J30" s="84" t="s">
        <v>9</v>
      </c>
      <c r="K30" s="84" t="s">
        <v>9</v>
      </c>
      <c r="L30" s="84" t="s">
        <v>8</v>
      </c>
      <c r="M30" s="84" t="s">
        <v>9</v>
      </c>
      <c r="N30" s="84" t="s">
        <v>22</v>
      </c>
      <c r="O30" s="84" t="s">
        <v>22</v>
      </c>
      <c r="P30" s="84" t="s">
        <v>22</v>
      </c>
      <c r="Q30" s="84" t="s">
        <v>22</v>
      </c>
      <c r="R30" s="84" t="s">
        <v>9</v>
      </c>
      <c r="S30" s="84" t="s">
        <v>9</v>
      </c>
      <c r="T30" s="84" t="s">
        <v>9</v>
      </c>
      <c r="U30" s="84" t="s">
        <v>9</v>
      </c>
      <c r="V30" s="84" t="s">
        <v>8</v>
      </c>
      <c r="W30" s="84" t="s">
        <v>9</v>
      </c>
      <c r="X30" s="84" t="s">
        <v>22</v>
      </c>
      <c r="Y30" s="84" t="s">
        <v>9</v>
      </c>
      <c r="Z30" s="84" t="s">
        <v>8</v>
      </c>
      <c r="AA30" s="84" t="s">
        <v>9</v>
      </c>
      <c r="AB30" s="84" t="s">
        <v>22</v>
      </c>
      <c r="AC30" s="84" t="s">
        <v>22</v>
      </c>
      <c r="AD30" s="84" t="s">
        <v>22</v>
      </c>
      <c r="AE30" s="84" t="s">
        <v>22</v>
      </c>
      <c r="AF30" s="84" t="s">
        <v>22</v>
      </c>
      <c r="AG30" s="84" t="s">
        <v>22</v>
      </c>
      <c r="AH30" s="19">
        <f t="shared" si="0"/>
        <v>1</v>
      </c>
      <c r="AI30"/>
    </row>
    <row r="31" spans="1:35" ht="15.75" customHeight="1" x14ac:dyDescent="0.25">
      <c r="A31" s="156" t="s">
        <v>34</v>
      </c>
      <c r="B31" s="157"/>
      <c r="C31" s="158"/>
      <c r="D31" s="72" t="s">
        <v>8</v>
      </c>
      <c r="E31" s="72" t="s">
        <v>8</v>
      </c>
      <c r="F31" s="72" t="s">
        <v>9</v>
      </c>
      <c r="G31" s="72" t="s">
        <v>9</v>
      </c>
      <c r="H31" s="72" t="s">
        <v>9</v>
      </c>
      <c r="I31" s="72" t="s">
        <v>9</v>
      </c>
      <c r="J31" s="72" t="s">
        <v>9</v>
      </c>
      <c r="K31" s="72" t="s">
        <v>9</v>
      </c>
      <c r="L31" s="72" t="s">
        <v>9</v>
      </c>
      <c r="M31" s="72" t="s">
        <v>9</v>
      </c>
      <c r="N31" s="72" t="s">
        <v>22</v>
      </c>
      <c r="O31" s="72" t="s">
        <v>22</v>
      </c>
      <c r="P31" s="72" t="s">
        <v>22</v>
      </c>
      <c r="Q31" s="72" t="s">
        <v>22</v>
      </c>
      <c r="R31" s="72" t="s">
        <v>9</v>
      </c>
      <c r="S31" s="72" t="s">
        <v>9</v>
      </c>
      <c r="T31" s="72" t="s">
        <v>9</v>
      </c>
      <c r="U31" s="72" t="s">
        <v>9</v>
      </c>
      <c r="V31" s="72" t="s">
        <v>8</v>
      </c>
      <c r="W31" s="72" t="s">
        <v>9</v>
      </c>
      <c r="X31" s="72" t="s">
        <v>9</v>
      </c>
      <c r="Y31" s="72" t="s">
        <v>9</v>
      </c>
      <c r="Z31" s="72" t="s">
        <v>8</v>
      </c>
      <c r="AA31" s="72" t="s">
        <v>9</v>
      </c>
      <c r="AB31" s="72" t="s">
        <v>22</v>
      </c>
      <c r="AC31" s="72" t="s">
        <v>22</v>
      </c>
      <c r="AD31" s="72" t="s">
        <v>22</v>
      </c>
      <c r="AE31" s="72" t="s">
        <v>22</v>
      </c>
      <c r="AF31" s="72" t="s">
        <v>22</v>
      </c>
      <c r="AG31" s="72" t="s">
        <v>22</v>
      </c>
      <c r="AH31" s="13">
        <f t="shared" si="0"/>
        <v>1</v>
      </c>
      <c r="AI31"/>
    </row>
    <row r="32" spans="1:35" ht="15.75" customHeight="1" x14ac:dyDescent="0.25">
      <c r="A32" s="159" t="s">
        <v>35</v>
      </c>
      <c r="B32" s="160"/>
      <c r="C32" s="161"/>
      <c r="D32" s="85" t="s">
        <v>8</v>
      </c>
      <c r="E32" s="85" t="s">
        <v>8</v>
      </c>
      <c r="F32" s="85" t="s">
        <v>9</v>
      </c>
      <c r="G32" s="85" t="s">
        <v>9</v>
      </c>
      <c r="H32" s="85" t="s">
        <v>9</v>
      </c>
      <c r="I32" s="85" t="s">
        <v>9</v>
      </c>
      <c r="J32" s="85" t="s">
        <v>9</v>
      </c>
      <c r="K32" s="85" t="s">
        <v>9</v>
      </c>
      <c r="L32" s="85" t="s">
        <v>9</v>
      </c>
      <c r="M32" s="85" t="s">
        <v>9</v>
      </c>
      <c r="N32" s="85" t="s">
        <v>22</v>
      </c>
      <c r="O32" s="85" t="s">
        <v>22</v>
      </c>
      <c r="P32" s="85" t="s">
        <v>22</v>
      </c>
      <c r="Q32" s="85" t="s">
        <v>22</v>
      </c>
      <c r="R32" s="85" t="s">
        <v>9</v>
      </c>
      <c r="S32" s="85" t="s">
        <v>9</v>
      </c>
      <c r="T32" s="85" t="s">
        <v>9</v>
      </c>
      <c r="U32" s="85" t="s">
        <v>9</v>
      </c>
      <c r="V32" s="85" t="s">
        <v>8</v>
      </c>
      <c r="W32" s="85" t="s">
        <v>9</v>
      </c>
      <c r="X32" s="85" t="s">
        <v>9</v>
      </c>
      <c r="Y32" s="85" t="s">
        <v>9</v>
      </c>
      <c r="Z32" s="85" t="s">
        <v>8</v>
      </c>
      <c r="AA32" s="85" t="s">
        <v>9</v>
      </c>
      <c r="AB32" s="85" t="s">
        <v>22</v>
      </c>
      <c r="AC32" s="85" t="s">
        <v>22</v>
      </c>
      <c r="AD32" s="85" t="s">
        <v>22</v>
      </c>
      <c r="AE32" s="85" t="s">
        <v>22</v>
      </c>
      <c r="AF32" s="85" t="s">
        <v>22</v>
      </c>
      <c r="AG32" s="85" t="s">
        <v>22</v>
      </c>
      <c r="AH32" s="17">
        <f t="shared" si="0"/>
        <v>1</v>
      </c>
      <c r="AI32"/>
    </row>
    <row r="33" spans="1:44" ht="15.75" customHeight="1" x14ac:dyDescent="0.25">
      <c r="A33" s="162" t="s">
        <v>36</v>
      </c>
      <c r="B33" s="163"/>
      <c r="C33" s="164"/>
      <c r="D33" s="81" t="s">
        <v>11</v>
      </c>
      <c r="E33" s="81" t="s">
        <v>11</v>
      </c>
      <c r="F33" s="81" t="s">
        <v>11</v>
      </c>
      <c r="G33" s="81" t="s">
        <v>11</v>
      </c>
      <c r="H33" s="81" t="s">
        <v>11</v>
      </c>
      <c r="I33" s="81" t="s">
        <v>11</v>
      </c>
      <c r="J33" s="81" t="s">
        <v>11</v>
      </c>
      <c r="K33" s="81" t="s">
        <v>11</v>
      </c>
      <c r="L33" s="81" t="s">
        <v>11</v>
      </c>
      <c r="M33" s="81" t="s">
        <v>11</v>
      </c>
      <c r="N33" s="81" t="s">
        <v>22</v>
      </c>
      <c r="O33" s="81" t="s">
        <v>22</v>
      </c>
      <c r="P33" s="81" t="s">
        <v>22</v>
      </c>
      <c r="Q33" s="81" t="s">
        <v>22</v>
      </c>
      <c r="R33" s="81" t="s">
        <v>11</v>
      </c>
      <c r="S33" s="81" t="s">
        <v>11</v>
      </c>
      <c r="T33" s="81" t="s">
        <v>11</v>
      </c>
      <c r="U33" s="81" t="s">
        <v>11</v>
      </c>
      <c r="V33" s="81" t="s">
        <v>11</v>
      </c>
      <c r="W33" s="81" t="s">
        <v>11</v>
      </c>
      <c r="X33" s="81" t="s">
        <v>22</v>
      </c>
      <c r="Y33" s="24" t="s">
        <v>11</v>
      </c>
      <c r="Z33" s="25" t="s">
        <v>11</v>
      </c>
      <c r="AA33" s="25" t="s">
        <v>11</v>
      </c>
      <c r="AB33" s="25" t="s">
        <v>22</v>
      </c>
      <c r="AC33" s="25" t="s">
        <v>22</v>
      </c>
      <c r="AD33" s="25" t="s">
        <v>22</v>
      </c>
      <c r="AE33" s="25" t="s">
        <v>22</v>
      </c>
      <c r="AF33" s="25" t="s">
        <v>22</v>
      </c>
      <c r="AG33" s="25" t="s">
        <v>22</v>
      </c>
      <c r="AH33" s="19">
        <f t="shared" si="0"/>
        <v>1</v>
      </c>
      <c r="AI33"/>
    </row>
    <row r="34" spans="1:44" ht="15.75" customHeight="1" x14ac:dyDescent="0.25">
      <c r="A34" s="162" t="s">
        <v>95</v>
      </c>
      <c r="B34" s="163"/>
      <c r="C34" s="164"/>
      <c r="D34" s="25" t="s">
        <v>11</v>
      </c>
      <c r="E34" s="25" t="s">
        <v>11</v>
      </c>
      <c r="F34" s="25" t="s">
        <v>11</v>
      </c>
      <c r="G34" s="25" t="s">
        <v>11</v>
      </c>
      <c r="H34" s="25" t="s">
        <v>11</v>
      </c>
      <c r="I34" s="25" t="s">
        <v>11</v>
      </c>
      <c r="J34" s="25" t="s">
        <v>11</v>
      </c>
      <c r="K34" s="25" t="s">
        <v>11</v>
      </c>
      <c r="L34" s="25" t="s">
        <v>11</v>
      </c>
      <c r="M34" s="25" t="s">
        <v>11</v>
      </c>
      <c r="N34" s="81" t="s">
        <v>22</v>
      </c>
      <c r="O34" s="81" t="s">
        <v>22</v>
      </c>
      <c r="P34" s="81" t="s">
        <v>22</v>
      </c>
      <c r="Q34" s="81" t="s">
        <v>22</v>
      </c>
      <c r="R34" s="81" t="s">
        <v>11</v>
      </c>
      <c r="S34" s="81" t="s">
        <v>11</v>
      </c>
      <c r="T34" s="81" t="s">
        <v>11</v>
      </c>
      <c r="U34" s="81" t="s">
        <v>11</v>
      </c>
      <c r="V34" s="81" t="s">
        <v>11</v>
      </c>
      <c r="W34" s="81" t="s">
        <v>11</v>
      </c>
      <c r="X34" s="81" t="s">
        <v>22</v>
      </c>
      <c r="Y34" s="24" t="s">
        <v>11</v>
      </c>
      <c r="Z34" s="24" t="s">
        <v>11</v>
      </c>
      <c r="AA34" s="24" t="s">
        <v>11</v>
      </c>
      <c r="AB34" s="24" t="s">
        <v>22</v>
      </c>
      <c r="AC34" s="24" t="s">
        <v>22</v>
      </c>
      <c r="AD34" s="24" t="s">
        <v>22</v>
      </c>
      <c r="AE34" s="24" t="s">
        <v>22</v>
      </c>
      <c r="AF34" s="24" t="s">
        <v>22</v>
      </c>
      <c r="AG34" s="24" t="s">
        <v>22</v>
      </c>
      <c r="AH34" s="19">
        <f t="shared" si="0"/>
        <v>1</v>
      </c>
      <c r="AI34"/>
    </row>
    <row r="35" spans="1:44" ht="15.75" customHeight="1" thickBot="1" x14ac:dyDescent="0.3">
      <c r="A35" s="165" t="s">
        <v>96</v>
      </c>
      <c r="B35" s="166"/>
      <c r="C35" s="167"/>
      <c r="D35" s="97" t="s">
        <v>11</v>
      </c>
      <c r="E35" s="97" t="s">
        <v>11</v>
      </c>
      <c r="F35" s="97" t="s">
        <v>11</v>
      </c>
      <c r="G35" s="97" t="s">
        <v>11</v>
      </c>
      <c r="H35" s="97" t="s">
        <v>11</v>
      </c>
      <c r="I35" s="97" t="s">
        <v>11</v>
      </c>
      <c r="J35" s="97" t="s">
        <v>11</v>
      </c>
      <c r="K35" s="97" t="s">
        <v>11</v>
      </c>
      <c r="L35" s="97" t="s">
        <v>11</v>
      </c>
      <c r="M35" s="97" t="s">
        <v>11</v>
      </c>
      <c r="N35" s="95" t="s">
        <v>22</v>
      </c>
      <c r="O35" s="95" t="s">
        <v>22</v>
      </c>
      <c r="P35" s="95" t="s">
        <v>22</v>
      </c>
      <c r="Q35" s="95" t="s">
        <v>22</v>
      </c>
      <c r="R35" s="95" t="s">
        <v>11</v>
      </c>
      <c r="S35" s="95" t="s">
        <v>11</v>
      </c>
      <c r="T35" s="95" t="s">
        <v>11</v>
      </c>
      <c r="U35" s="95" t="s">
        <v>11</v>
      </c>
      <c r="V35" s="95" t="s">
        <v>11</v>
      </c>
      <c r="W35" s="95" t="s">
        <v>11</v>
      </c>
      <c r="X35" s="95" t="s">
        <v>22</v>
      </c>
      <c r="Y35" s="96" t="s">
        <v>11</v>
      </c>
      <c r="Z35" s="96" t="s">
        <v>11</v>
      </c>
      <c r="AA35" s="96" t="s">
        <v>11</v>
      </c>
      <c r="AB35" s="96" t="s">
        <v>22</v>
      </c>
      <c r="AC35" s="96" t="s">
        <v>22</v>
      </c>
      <c r="AD35" s="96" t="s">
        <v>22</v>
      </c>
      <c r="AE35" s="96" t="s">
        <v>22</v>
      </c>
      <c r="AF35" s="96" t="s">
        <v>22</v>
      </c>
      <c r="AG35" s="96" t="s">
        <v>22</v>
      </c>
      <c r="AH35" s="98">
        <f t="shared" si="0"/>
        <v>1</v>
      </c>
      <c r="AI35"/>
    </row>
    <row r="36" spans="1:44" s="32" customFormat="1" ht="15.75" customHeight="1" x14ac:dyDescent="0.25">
      <c r="A36" s="150" t="s">
        <v>37</v>
      </c>
      <c r="B36" s="151"/>
      <c r="C36" s="152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7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8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68" t="s">
        <v>38</v>
      </c>
      <c r="B37" s="169"/>
      <c r="C37" s="170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9"/>
      <c r="AI37" s="35"/>
    </row>
    <row r="38" spans="1:44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>AB</v>
      </c>
      <c r="E38" s="37" t="str">
        <f>IF(AND(E5&gt;0,COUNTA(E6:E37)&gt;0,COUNTA(E6:E37)-COUNTIF(E6:E37,"NB")-COUNTIF(E30:E31, "0")=COUNTA(E6:E37)),"AB","")</f>
        <v>AB</v>
      </c>
      <c r="F38" s="37" t="str">
        <f>IF(AND(F5&gt;0,COUNTA(F6:F37)&gt;0,COUNTA(F6:F37)-COUNTIF(F6:F37,"NB")-COUNTIF(F30:F31, "0")=COUNTA(F6:F37)),"AB","")</f>
        <v>AB</v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/>
      </c>
      <c r="J38" s="37" t="str">
        <f t="shared" ref="J38:AG38" si="1">IF(AND(J5&gt;0,COUNTA(J6:J37)&gt;0,COUNTA(J6:J37)-COUNTIF(J6:J37,"NB")-COUNTIF(J30:J31, "0")=COUNTA(J6:J37)),"AB","")</f>
        <v/>
      </c>
      <c r="K38" s="37" t="str">
        <f t="shared" si="1"/>
        <v/>
      </c>
      <c r="L38" s="37" t="str">
        <f t="shared" si="1"/>
        <v/>
      </c>
      <c r="M38" s="37" t="str">
        <f t="shared" si="1"/>
        <v/>
      </c>
      <c r="N38" s="37" t="str">
        <f t="shared" si="1"/>
        <v/>
      </c>
      <c r="O38" s="37" t="str">
        <f t="shared" si="1"/>
        <v/>
      </c>
      <c r="P38" s="37" t="str">
        <f t="shared" si="1"/>
        <v/>
      </c>
      <c r="Q38" s="37" t="str">
        <f t="shared" si="1"/>
        <v/>
      </c>
      <c r="R38" s="37" t="str">
        <f t="shared" si="1"/>
        <v/>
      </c>
      <c r="S38" s="37" t="str">
        <f t="shared" si="1"/>
        <v/>
      </c>
      <c r="T38" s="37" t="str">
        <f t="shared" si="1"/>
        <v>AB</v>
      </c>
      <c r="U38" s="37" t="str">
        <f t="shared" si="1"/>
        <v/>
      </c>
      <c r="V38" s="37" t="str">
        <f t="shared" si="1"/>
        <v/>
      </c>
      <c r="W38" s="37" t="str">
        <f t="shared" si="1"/>
        <v/>
      </c>
      <c r="X38" s="37" t="str">
        <f t="shared" si="1"/>
        <v/>
      </c>
      <c r="Y38" s="37" t="str">
        <f t="shared" si="1"/>
        <v/>
      </c>
      <c r="Z38" s="37" t="str">
        <f t="shared" si="1"/>
        <v/>
      </c>
      <c r="AA38" s="37" t="str">
        <f>IF(AND(AA5&gt;0,COUNTA(AA6:AA37)&gt;0,COUNTA(AA6:AA37)-COUNTIF(AA6:AA37,"NB")-COUNTIF(AA30:AA31, "0")=COUNTA(AA6:AA37)),"AB","")</f>
        <v/>
      </c>
      <c r="AB38" s="37" t="str">
        <f t="shared" si="1"/>
        <v/>
      </c>
      <c r="AC38" s="37" t="str">
        <f t="shared" si="1"/>
        <v/>
      </c>
      <c r="AD38" s="37" t="str">
        <f t="shared" si="1"/>
        <v/>
      </c>
      <c r="AE38" s="37" t="str">
        <f t="shared" si="1"/>
        <v/>
      </c>
      <c r="AF38" s="37" t="str">
        <f t="shared" si="1"/>
        <v/>
      </c>
      <c r="AG38" s="37" t="str">
        <f t="shared" si="1"/>
        <v/>
      </c>
      <c r="AH38" s="37" t="e">
        <f>IF(AND(#REF!&gt;0,COUNTA(AH36:AH37)&gt;0,COUNTA(AH36:AH37)-COUNTIF(AH36:AH37,"NB")-COUNTIF(#REF!, "0")=COUNTA(AH36:AH37)),"AB","")</f>
        <v>#REF!</v>
      </c>
      <c r="AI38" s="35"/>
    </row>
    <row r="39" spans="1:44" ht="15.75" hidden="1" customHeight="1" x14ac:dyDescent="0.25">
      <c r="D39" s="38" t="str">
        <f>IF(AND(D5:D5&gt;0,COUNTA(D6:D35),COUNTIF(D6:D35,"NB")+COUNTIF(D6:D35,0)=COUNTA(D6:D35)),"ANB","")</f>
        <v/>
      </c>
      <c r="E39" s="38" t="str">
        <f>IF(AND(E5:E5&gt;0,COUNTA(E6:E35),COUNTIF(E6:E35,"NB")+COUNTIF(E6:E35,0)=COUNTA(E6:E35)),"ANB","")</f>
        <v/>
      </c>
      <c r="F39" s="38" t="str">
        <f>IF(AND(F5:F5&gt;0,COUNTA(F6:F35),COUNTIF(F6:F35,"NB")+COUNTIF(F6:F35,0)=COUNTA(F6:F35)),"ANB","")</f>
        <v/>
      </c>
      <c r="G39" s="38" t="str">
        <f>IF(AND(G5:G5&gt;0,COUNTA(G6:G35),COUNTIF(G6:G35,"NB")+COUNTIF(G6:G35,0)=COUNTA(G6:G35)),"ANB","")</f>
        <v/>
      </c>
      <c r="H39" s="38" t="str">
        <f>IF(AND(H5:H5&gt;0,COUNTA(H6:H35),COUNTIF(H6:H35,"NB")+COUNTIF(H6:H35,0)=COUNTA(H6:H35)),"ANB","")</f>
        <v/>
      </c>
      <c r="I39" s="38" t="str">
        <f>IF(AND(I5:I5&gt;0,COUNTA(I6:I31),COUNTIF(I6:I31,"NB")+COUNTIF(I6:I31,0)=COUNTA(I6:I31)),"ANB","")</f>
        <v/>
      </c>
      <c r="J39" s="38" t="str">
        <f t="shared" ref="J39:AG39" si="2">IF(AND(J5:J5&gt;0,COUNTA(J6:J35),COUNTIF(J6:J35,"NB")+COUNTIF(J6:J35,0)=COUNTA(J6:J35)),"ANB","")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>IF(AND(AA5:AA5&gt;0,COUNTA(AA6:AA35),COUNTIF(AA6:AA35,"NB")+COUNTIF(AA6:AA35,0)=COUNTA(AA6:AA35)),"ANB","")</f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e">
        <f>IF(AND(#REF!&gt;0,COUNTA(#REF!),COUNTIF(#REF!,"NB")+COUNTIF(#REF!,0)=COUNTA(#REF!)),"ANB","")</f>
        <v>#REF!</v>
      </c>
    </row>
    <row r="40" spans="1:44" ht="15.75" customHeight="1" thickBot="1" x14ac:dyDescent="0.3">
      <c r="D40" s="39"/>
    </row>
    <row r="41" spans="1:44" ht="15.75" customHeight="1" thickBot="1" x14ac:dyDescent="0.3">
      <c r="A41" s="147" t="s">
        <v>39</v>
      </c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9"/>
    </row>
    <row r="42" spans="1:44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  <c r="AH49" s="59"/>
    </row>
    <row r="50" spans="1:35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COUNTA(D5:AG5)</f>
        <v>30</v>
      </c>
      <c r="AH50" s="59"/>
      <c r="AI50"/>
    </row>
    <row r="51" spans="1:35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COUNTIF(D38:AH38,"AB")</f>
        <v>4</v>
      </c>
      <c r="AH51" s="59"/>
      <c r="AI51"/>
    </row>
    <row r="52" spans="1:35" ht="15.75" customHeight="1" x14ac:dyDescent="0.25">
      <c r="A52" s="54" t="s">
        <v>82</v>
      </c>
      <c r="B52" t="s">
        <v>83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26</v>
      </c>
      <c r="AH52" s="59"/>
      <c r="AI52"/>
    </row>
    <row r="53" spans="1:35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37:C37"/>
    <mergeCell ref="A41:AH41"/>
    <mergeCell ref="A30:C30"/>
    <mergeCell ref="A31:C31"/>
    <mergeCell ref="A32:C32"/>
    <mergeCell ref="A33:C33"/>
    <mergeCell ref="A36:C36"/>
    <mergeCell ref="A34:C34"/>
    <mergeCell ref="A35:C35"/>
  </mergeCells>
  <conditionalFormatting sqref="N30:N33 Z6:Z7 N6:N7 N18:N24 N27 Z30:Z33 Y27:Z27 Z18:Z22 O23:P24 N9:Q14 AF23:AF24 AC30:AE33 AC6:AE7 AC27:AE27 AC18:AE24">
    <cfRule type="cellIs" dxfId="646" priority="616" stopIfTrue="1" operator="equal">
      <formula>"B"</formula>
    </cfRule>
    <cfRule type="cellIs" dxfId="645" priority="617" stopIfTrue="1" operator="equal">
      <formula>"M"</formula>
    </cfRule>
    <cfRule type="cellIs" dxfId="644" priority="618" stopIfTrue="1" operator="between">
      <formula>"NB"</formula>
      <formula>"NB^"</formula>
    </cfRule>
  </conditionalFormatting>
  <conditionalFormatting sqref="N28:N29 Y28:Z29 AC28:AE29">
    <cfRule type="cellIs" dxfId="643" priority="619" stopIfTrue="1" operator="equal">
      <formula>0</formula>
    </cfRule>
  </conditionalFormatting>
  <conditionalFormatting sqref="Z15:Z17 AC15:AE17">
    <cfRule type="cellIs" dxfId="642" priority="606" stopIfTrue="1" operator="equal">
      <formula>"B"</formula>
    </cfRule>
    <cfRule type="cellIs" dxfId="641" priority="607" stopIfTrue="1" operator="equal">
      <formula>"M"</formula>
    </cfRule>
    <cfRule type="cellIs" dxfId="640" priority="608" stopIfTrue="1" operator="between">
      <formula>"NB"</formula>
      <formula>"NB^"</formula>
    </cfRule>
  </conditionalFormatting>
  <conditionalFormatting sqref="Z8">
    <cfRule type="cellIs" dxfId="639" priority="591" stopIfTrue="1" operator="equal">
      <formula>"B"</formula>
    </cfRule>
    <cfRule type="cellIs" dxfId="638" priority="592" stopIfTrue="1" operator="equal">
      <formula>"M"</formula>
    </cfRule>
    <cfRule type="cellIs" dxfId="637" priority="593" stopIfTrue="1" operator="between">
      <formula>"NB"</formula>
      <formula>"NB^"</formula>
    </cfRule>
  </conditionalFormatting>
  <conditionalFormatting sqref="N34 Z34 AC34:AE34">
    <cfRule type="cellIs" dxfId="636" priority="578" stopIfTrue="1" operator="equal">
      <formula>"B"</formula>
    </cfRule>
    <cfRule type="cellIs" dxfId="635" priority="579" stopIfTrue="1" operator="equal">
      <formula>"M"</formula>
    </cfRule>
    <cfRule type="cellIs" dxfId="634" priority="580" stopIfTrue="1" operator="between">
      <formula>"NB"</formula>
      <formula>"NB^"</formula>
    </cfRule>
  </conditionalFormatting>
  <conditionalFormatting sqref="N35 Z35 AC35:AE35">
    <cfRule type="cellIs" dxfId="633" priority="575" stopIfTrue="1" operator="equal">
      <formula>"B"</formula>
    </cfRule>
    <cfRule type="cellIs" dxfId="632" priority="576" stopIfTrue="1" operator="equal">
      <formula>"M"</formula>
    </cfRule>
    <cfRule type="cellIs" dxfId="631" priority="577" stopIfTrue="1" operator="between">
      <formula>"NB"</formula>
      <formula>"NB^"</formula>
    </cfRule>
  </conditionalFormatting>
  <conditionalFormatting sqref="X22:X26 Y23:Z26 Y22 Y30:Y32 X9:Z14">
    <cfRule type="cellIs" dxfId="630" priority="526" stopIfTrue="1" operator="equal">
      <formula>"B"</formula>
    </cfRule>
    <cfRule type="cellIs" dxfId="629" priority="527" stopIfTrue="1" operator="equal">
      <formula>"M"</formula>
    </cfRule>
    <cfRule type="cellIs" dxfId="628" priority="528" stopIfTrue="1" operator="between">
      <formula>"NB"</formula>
      <formula>"NB^"</formula>
    </cfRule>
  </conditionalFormatting>
  <conditionalFormatting sqref="L23:L24">
    <cfRule type="cellIs" dxfId="627" priority="481" stopIfTrue="1" operator="equal">
      <formula>"B"</formula>
    </cfRule>
    <cfRule type="cellIs" dxfId="626" priority="482" stopIfTrue="1" operator="equal">
      <formula>"M"</formula>
    </cfRule>
    <cfRule type="cellIs" dxfId="625" priority="483" stopIfTrue="1" operator="between">
      <formula>"NB"</formula>
      <formula>"NB^"</formula>
    </cfRule>
  </conditionalFormatting>
  <conditionalFormatting sqref="N15:N17">
    <cfRule type="cellIs" dxfId="624" priority="437" stopIfTrue="1" operator="equal">
      <formula>"B"</formula>
    </cfRule>
    <cfRule type="cellIs" dxfId="623" priority="438" stopIfTrue="1" operator="equal">
      <formula>"M"</formula>
    </cfRule>
    <cfRule type="cellIs" dxfId="622" priority="439" stopIfTrue="1" operator="between">
      <formula>"NB"</formula>
      <formula>"NB^"</formula>
    </cfRule>
  </conditionalFormatting>
  <conditionalFormatting sqref="L27 L6:L7">
    <cfRule type="cellIs" dxfId="621" priority="430" stopIfTrue="1" operator="equal">
      <formula>"B"</formula>
    </cfRule>
    <cfRule type="cellIs" dxfId="620" priority="431" stopIfTrue="1" operator="equal">
      <formula>"M"</formula>
    </cfRule>
    <cfRule type="cellIs" dxfId="619" priority="432" stopIfTrue="1" operator="between">
      <formula>"NB"</formula>
      <formula>"NB^"</formula>
    </cfRule>
  </conditionalFormatting>
  <conditionalFormatting sqref="L28:L29">
    <cfRule type="cellIs" dxfId="618" priority="433" stopIfTrue="1" operator="equal">
      <formula>0</formula>
    </cfRule>
  </conditionalFormatting>
  <conditionalFormatting sqref="L35">
    <cfRule type="cellIs" dxfId="617" priority="412" stopIfTrue="1" operator="equal">
      <formula>"B"</formula>
    </cfRule>
    <cfRule type="cellIs" dxfId="616" priority="413" stopIfTrue="1" operator="equal">
      <formula>"M"</formula>
    </cfRule>
    <cfRule type="cellIs" dxfId="615" priority="414" stopIfTrue="1" operator="between">
      <formula>"NB"</formula>
      <formula>"NB^"</formula>
    </cfRule>
  </conditionalFormatting>
  <conditionalFormatting sqref="L30:L33">
    <cfRule type="cellIs" dxfId="614" priority="424" stopIfTrue="1" operator="equal">
      <formula>"B"</formula>
    </cfRule>
    <cfRule type="cellIs" dxfId="613" priority="425" stopIfTrue="1" operator="equal">
      <formula>"M"</formula>
    </cfRule>
    <cfRule type="cellIs" dxfId="612" priority="426" stopIfTrue="1" operator="between">
      <formula>"NB"</formula>
      <formula>"NB^"</formula>
    </cfRule>
  </conditionalFormatting>
  <conditionalFormatting sqref="L34">
    <cfRule type="cellIs" dxfId="611" priority="415" stopIfTrue="1" operator="equal">
      <formula>"B"</formula>
    </cfRule>
    <cfRule type="cellIs" dxfId="610" priority="416" stopIfTrue="1" operator="equal">
      <formula>"M"</formula>
    </cfRule>
    <cfRule type="cellIs" dxfId="609" priority="417" stopIfTrue="1" operator="between">
      <formula>"NB"</formula>
      <formula>"NB^"</formula>
    </cfRule>
  </conditionalFormatting>
  <conditionalFormatting sqref="L25:L26 N25:N26">
    <cfRule type="cellIs" dxfId="608" priority="406" stopIfTrue="1" operator="equal">
      <formula>"B"</formula>
    </cfRule>
    <cfRule type="cellIs" dxfId="607" priority="407" stopIfTrue="1" operator="equal">
      <formula>"M"</formula>
    </cfRule>
    <cfRule type="cellIs" dxfId="606" priority="408" stopIfTrue="1" operator="between">
      <formula>"NB"</formula>
      <formula>"NB^"</formula>
    </cfRule>
  </conditionalFormatting>
  <conditionalFormatting sqref="Q23:Q24 R9:R14 R33 R6:R7 R18:R21 Y18:Y21 X6:Y7">
    <cfRule type="cellIs" dxfId="605" priority="402" stopIfTrue="1" operator="equal">
      <formula>"B"</formula>
    </cfRule>
    <cfRule type="cellIs" dxfId="604" priority="403" stopIfTrue="1" operator="equal">
      <formula>"M"</formula>
    </cfRule>
    <cfRule type="cellIs" dxfId="603" priority="404" stopIfTrue="1" operator="between">
      <formula>"NB"</formula>
      <formula>"NB^"</formula>
    </cfRule>
  </conditionalFormatting>
  <conditionalFormatting sqref="R8 X8:Y8">
    <cfRule type="cellIs" dxfId="602" priority="399" stopIfTrue="1" operator="equal">
      <formula>"B"</formula>
    </cfRule>
    <cfRule type="cellIs" dxfId="601" priority="400" stopIfTrue="1" operator="equal">
      <formula>"M"</formula>
    </cfRule>
    <cfRule type="cellIs" dxfId="600" priority="401" stopIfTrue="1" operator="between">
      <formula>"NB"</formula>
      <formula>"NB^"</formula>
    </cfRule>
  </conditionalFormatting>
  <conditionalFormatting sqref="R34">
    <cfRule type="cellIs" dxfId="599" priority="396" stopIfTrue="1" operator="equal">
      <formula>"B"</formula>
    </cfRule>
    <cfRule type="cellIs" dxfId="598" priority="397" stopIfTrue="1" operator="equal">
      <formula>"M"</formula>
    </cfRule>
    <cfRule type="cellIs" dxfId="597" priority="398" stopIfTrue="1" operator="between">
      <formula>"NB"</formula>
      <formula>"NB^"</formula>
    </cfRule>
  </conditionalFormatting>
  <conditionalFormatting sqref="R35">
    <cfRule type="cellIs" dxfId="596" priority="393" stopIfTrue="1" operator="equal">
      <formula>"B"</formula>
    </cfRule>
    <cfRule type="cellIs" dxfId="595" priority="394" stopIfTrue="1" operator="equal">
      <formula>"M"</formula>
    </cfRule>
    <cfRule type="cellIs" dxfId="594" priority="395" stopIfTrue="1" operator="between">
      <formula>"NB"</formula>
      <formula>"NB^"</formula>
    </cfRule>
  </conditionalFormatting>
  <conditionalFormatting sqref="R15:R17 Y15:Y17">
    <cfRule type="cellIs" dxfId="593" priority="390" stopIfTrue="1" operator="equal">
      <formula>"B"</formula>
    </cfRule>
    <cfRule type="cellIs" dxfId="592" priority="391" stopIfTrue="1" operator="equal">
      <formula>"M"</formula>
    </cfRule>
    <cfRule type="cellIs" dxfId="591" priority="392" stopIfTrue="1" operator="between">
      <formula>"NB"</formula>
      <formula>"NB^"</formula>
    </cfRule>
  </conditionalFormatting>
  <conditionalFormatting sqref="Q25:Q26">
    <cfRule type="cellIs" dxfId="590" priority="387" stopIfTrue="1" operator="equal">
      <formula>"B"</formula>
    </cfRule>
    <cfRule type="cellIs" dxfId="589" priority="388" stopIfTrue="1" operator="equal">
      <formula>"M"</formula>
    </cfRule>
    <cfRule type="cellIs" dxfId="588" priority="389" stopIfTrue="1" operator="between">
      <formula>"NB"</formula>
      <formula>"NB^"</formula>
    </cfRule>
  </conditionalFormatting>
  <conditionalFormatting sqref="R22:R27 R30:R32">
    <cfRule type="cellIs" dxfId="587" priority="383" stopIfTrue="1" operator="equal">
      <formula>"B"</formula>
    </cfRule>
    <cfRule type="cellIs" dxfId="586" priority="384" stopIfTrue="1" operator="equal">
      <formula>"M"</formula>
    </cfRule>
    <cfRule type="cellIs" dxfId="585" priority="385" stopIfTrue="1" operator="between">
      <formula>"NB"</formula>
      <formula>"NB^"</formula>
    </cfRule>
  </conditionalFormatting>
  <conditionalFormatting sqref="R28:R29">
    <cfRule type="cellIs" dxfId="584" priority="386" stopIfTrue="1" operator="equal">
      <formula>0</formula>
    </cfRule>
  </conditionalFormatting>
  <conditionalFormatting sqref="Y33">
    <cfRule type="cellIs" dxfId="583" priority="367" stopIfTrue="1" operator="equal">
      <formula>"B"</formula>
    </cfRule>
    <cfRule type="cellIs" dxfId="582" priority="368" stopIfTrue="1" operator="equal">
      <formula>"M"</formula>
    </cfRule>
    <cfRule type="cellIs" dxfId="581" priority="369" stopIfTrue="1" operator="between">
      <formula>"NB"</formula>
      <formula>"NB^"</formula>
    </cfRule>
  </conditionalFormatting>
  <conditionalFormatting sqref="Y34">
    <cfRule type="cellIs" dxfId="580" priority="358" stopIfTrue="1" operator="equal">
      <formula>"B"</formula>
    </cfRule>
    <cfRule type="cellIs" dxfId="579" priority="359" stopIfTrue="1" operator="equal">
      <formula>"M"</formula>
    </cfRule>
    <cfRule type="cellIs" dxfId="578" priority="360" stopIfTrue="1" operator="between">
      <formula>"NB"</formula>
      <formula>"NB^"</formula>
    </cfRule>
  </conditionalFormatting>
  <conditionalFormatting sqref="Y35">
    <cfRule type="cellIs" dxfId="577" priority="355" stopIfTrue="1" operator="equal">
      <formula>"B"</formula>
    </cfRule>
    <cfRule type="cellIs" dxfId="576" priority="356" stopIfTrue="1" operator="equal">
      <formula>"M"</formula>
    </cfRule>
    <cfRule type="cellIs" dxfId="575" priority="357" stopIfTrue="1" operator="between">
      <formula>"NB"</formula>
      <formula>"NB^"</formula>
    </cfRule>
  </conditionalFormatting>
  <conditionalFormatting sqref="AB6:AB7 AB18:AB27 AB30:AB33 AC25:AF26">
    <cfRule type="cellIs" dxfId="574" priority="335" stopIfTrue="1" operator="equal">
      <formula>"B"</formula>
    </cfRule>
    <cfRule type="cellIs" dxfId="573" priority="336" stopIfTrue="1" operator="equal">
      <formula>"M"</formula>
    </cfRule>
    <cfRule type="cellIs" dxfId="572" priority="337" stopIfTrue="1" operator="between">
      <formula>"NB"</formula>
      <formula>"NB^"</formula>
    </cfRule>
  </conditionalFormatting>
  <conditionalFormatting sqref="AB28:AB29">
    <cfRule type="cellIs" dxfId="571" priority="338" stopIfTrue="1" operator="equal">
      <formula>0</formula>
    </cfRule>
  </conditionalFormatting>
  <conditionalFormatting sqref="AB15:AB17">
    <cfRule type="cellIs" dxfId="570" priority="332" stopIfTrue="1" operator="equal">
      <formula>"B"</formula>
    </cfRule>
    <cfRule type="cellIs" dxfId="569" priority="333" stopIfTrue="1" operator="equal">
      <formula>"M"</formula>
    </cfRule>
    <cfRule type="cellIs" dxfId="568" priority="334" stopIfTrue="1" operator="between">
      <formula>"NB"</formula>
      <formula>"NB^"</formula>
    </cfRule>
  </conditionalFormatting>
  <conditionalFormatting sqref="AB8:AE8">
    <cfRule type="cellIs" dxfId="567" priority="329" stopIfTrue="1" operator="equal">
      <formula>"B"</formula>
    </cfRule>
    <cfRule type="cellIs" dxfId="566" priority="330" stopIfTrue="1" operator="equal">
      <formula>"M"</formula>
    </cfRule>
    <cfRule type="cellIs" dxfId="565" priority="331" stopIfTrue="1" operator="between">
      <formula>"NB"</formula>
      <formula>"NB^"</formula>
    </cfRule>
  </conditionalFormatting>
  <conditionalFormatting sqref="AB34">
    <cfRule type="cellIs" dxfId="564" priority="326" stopIfTrue="1" operator="equal">
      <formula>"B"</formula>
    </cfRule>
    <cfRule type="cellIs" dxfId="563" priority="327" stopIfTrue="1" operator="equal">
      <formula>"M"</formula>
    </cfRule>
    <cfRule type="cellIs" dxfId="562" priority="328" stopIfTrue="1" operator="between">
      <formula>"NB"</formula>
      <formula>"NB^"</formula>
    </cfRule>
  </conditionalFormatting>
  <conditionalFormatting sqref="AB35">
    <cfRule type="cellIs" dxfId="561" priority="323" stopIfTrue="1" operator="equal">
      <formula>"B"</formula>
    </cfRule>
    <cfRule type="cellIs" dxfId="560" priority="324" stopIfTrue="1" operator="equal">
      <formula>"M"</formula>
    </cfRule>
    <cfRule type="cellIs" dxfId="559" priority="325" stopIfTrue="1" operator="between">
      <formula>"NB"</formula>
      <formula>"NB^"</formula>
    </cfRule>
  </conditionalFormatting>
  <conditionalFormatting sqref="AB9:AE14">
    <cfRule type="cellIs" dxfId="558" priority="320" stopIfTrue="1" operator="equal">
      <formula>"B"</formula>
    </cfRule>
    <cfRule type="cellIs" dxfId="557" priority="321" stopIfTrue="1" operator="equal">
      <formula>"M"</formula>
    </cfRule>
    <cfRule type="cellIs" dxfId="556" priority="322" stopIfTrue="1" operator="between">
      <formula>"NB"</formula>
      <formula>"NB^"</formula>
    </cfRule>
  </conditionalFormatting>
  <conditionalFormatting sqref="AF30:AF33 AF27">
    <cfRule type="cellIs" dxfId="555" priority="300" stopIfTrue="1" operator="equal">
      <formula>"B"</formula>
    </cfRule>
    <cfRule type="cellIs" dxfId="554" priority="301" stopIfTrue="1" operator="equal">
      <formula>"M"</formula>
    </cfRule>
    <cfRule type="cellIs" dxfId="553" priority="302" stopIfTrue="1" operator="between">
      <formula>"NB"</formula>
      <formula>"NB^"</formula>
    </cfRule>
  </conditionalFormatting>
  <conditionalFormatting sqref="AF28:AF29">
    <cfRule type="cellIs" dxfId="552" priority="303" stopIfTrue="1" operator="equal">
      <formula>0</formula>
    </cfRule>
  </conditionalFormatting>
  <conditionalFormatting sqref="AF34">
    <cfRule type="cellIs" dxfId="551" priority="291" stopIfTrue="1" operator="equal">
      <formula>"B"</formula>
    </cfRule>
    <cfRule type="cellIs" dxfId="550" priority="292" stopIfTrue="1" operator="equal">
      <formula>"M"</formula>
    </cfRule>
    <cfRule type="cellIs" dxfId="549" priority="293" stopIfTrue="1" operator="between">
      <formula>"NB"</formula>
      <formula>"NB^"</formula>
    </cfRule>
  </conditionalFormatting>
  <conditionalFormatting sqref="AF35">
    <cfRule type="cellIs" dxfId="548" priority="288" stopIfTrue="1" operator="equal">
      <formula>"B"</formula>
    </cfRule>
    <cfRule type="cellIs" dxfId="547" priority="289" stopIfTrue="1" operator="equal">
      <formula>"M"</formula>
    </cfRule>
    <cfRule type="cellIs" dxfId="546" priority="290" stopIfTrue="1" operator="between">
      <formula>"NB"</formula>
      <formula>"NB^"</formula>
    </cfRule>
  </conditionalFormatting>
  <conditionalFormatting sqref="D15:D17">
    <cfRule type="cellIs" dxfId="545" priority="264" stopIfTrue="1" operator="equal">
      <formula>"B"</formula>
    </cfRule>
    <cfRule type="cellIs" dxfId="544" priority="265" stopIfTrue="1" operator="equal">
      <formula>"M"</formula>
    </cfRule>
    <cfRule type="cellIs" dxfId="543" priority="266" stopIfTrue="1" operator="between">
      <formula>"NB"</formula>
      <formula>"NB^"</formula>
    </cfRule>
  </conditionalFormatting>
  <conditionalFormatting sqref="D27 D18:D21">
    <cfRule type="cellIs" dxfId="542" priority="261" stopIfTrue="1" operator="equal">
      <formula>"B"</formula>
    </cfRule>
    <cfRule type="cellIs" dxfId="541" priority="262" stopIfTrue="1" operator="equal">
      <formula>"M"</formula>
    </cfRule>
    <cfRule type="cellIs" dxfId="540" priority="263" stopIfTrue="1" operator="between">
      <formula>"NB"</formula>
      <formula>"NB^"</formula>
    </cfRule>
  </conditionalFormatting>
  <conditionalFormatting sqref="D6:D7">
    <cfRule type="cellIs" dxfId="539" priority="258" stopIfTrue="1" operator="equal">
      <formula>"B"</formula>
    </cfRule>
    <cfRule type="cellIs" dxfId="538" priority="259" stopIfTrue="1" operator="equal">
      <formula>"M"</formula>
    </cfRule>
    <cfRule type="cellIs" dxfId="537" priority="260" stopIfTrue="1" operator="between">
      <formula>"NB"</formula>
      <formula>"NB^"</formula>
    </cfRule>
  </conditionalFormatting>
  <conditionalFormatting sqref="D35">
    <cfRule type="cellIs" dxfId="536" priority="249" stopIfTrue="1" operator="equal">
      <formula>"B"</formula>
    </cfRule>
    <cfRule type="cellIs" dxfId="535" priority="250" stopIfTrue="1" operator="equal">
      <formula>"M"</formula>
    </cfRule>
    <cfRule type="cellIs" dxfId="534" priority="251" stopIfTrue="1" operator="between">
      <formula>"NB"</formula>
      <formula>"NB^"</formula>
    </cfRule>
  </conditionalFormatting>
  <conditionalFormatting sqref="D30:D33 D9:D14">
    <cfRule type="cellIs" dxfId="533" priority="268" stopIfTrue="1" operator="equal">
      <formula>"B"</formula>
    </cfRule>
    <cfRule type="cellIs" dxfId="532" priority="269" stopIfTrue="1" operator="equal">
      <formula>"M"</formula>
    </cfRule>
    <cfRule type="cellIs" dxfId="531" priority="270" stopIfTrue="1" operator="between">
      <formula>"NB"</formula>
      <formula>"NB^"</formula>
    </cfRule>
  </conditionalFormatting>
  <conditionalFormatting sqref="D28">
    <cfRule type="cellIs" dxfId="530" priority="271" stopIfTrue="1" operator="equal">
      <formula>0</formula>
    </cfRule>
  </conditionalFormatting>
  <conditionalFormatting sqref="D29">
    <cfRule type="cellIs" dxfId="529" priority="267" stopIfTrue="1" operator="equal">
      <formula>0</formula>
    </cfRule>
  </conditionalFormatting>
  <conditionalFormatting sqref="D22:D26">
    <cfRule type="cellIs" dxfId="528" priority="255" stopIfTrue="1" operator="equal">
      <formula>"B"</formula>
    </cfRule>
    <cfRule type="cellIs" dxfId="527" priority="256" stopIfTrue="1" operator="equal">
      <formula>"M"</formula>
    </cfRule>
    <cfRule type="cellIs" dxfId="526" priority="257" stopIfTrue="1" operator="between">
      <formula>"NB"</formula>
      <formula>"NB^"</formula>
    </cfRule>
  </conditionalFormatting>
  <conditionalFormatting sqref="D34">
    <cfRule type="cellIs" dxfId="525" priority="252" stopIfTrue="1" operator="equal">
      <formula>"B"</formula>
    </cfRule>
    <cfRule type="cellIs" dxfId="524" priority="253" stopIfTrue="1" operator="equal">
      <formula>"M"</formula>
    </cfRule>
    <cfRule type="cellIs" dxfId="523" priority="254" stopIfTrue="1" operator="between">
      <formula>"NB"</formula>
      <formula>"NB^"</formula>
    </cfRule>
  </conditionalFormatting>
  <conditionalFormatting sqref="D8">
    <cfRule type="cellIs" dxfId="522" priority="245" operator="equal">
      <formula>"B"</formula>
    </cfRule>
    <cfRule type="cellIs" dxfId="521" priority="246" operator="equal">
      <formula>0</formula>
    </cfRule>
    <cfRule type="cellIs" dxfId="520" priority="247" operator="equal">
      <formula>"NB"</formula>
    </cfRule>
    <cfRule type="cellIs" dxfId="519" priority="248" operator="equal">
      <formula>"M"</formula>
    </cfRule>
  </conditionalFormatting>
  <conditionalFormatting sqref="K15:L17">
    <cfRule type="cellIs" dxfId="518" priority="242" stopIfTrue="1" operator="equal">
      <formula>"B"</formula>
    </cfRule>
    <cfRule type="cellIs" dxfId="517" priority="243" stopIfTrue="1" operator="equal">
      <formula>"M"</formula>
    </cfRule>
    <cfRule type="cellIs" dxfId="516" priority="244" stopIfTrue="1" operator="between">
      <formula>"NB"</formula>
      <formula>"NB^"</formula>
    </cfRule>
  </conditionalFormatting>
  <conditionalFormatting sqref="K6:K7 K27 K22:L22">
    <cfRule type="cellIs" dxfId="515" priority="235" stopIfTrue="1" operator="equal">
      <formula>"B"</formula>
    </cfRule>
    <cfRule type="cellIs" dxfId="514" priority="236" stopIfTrue="1" operator="equal">
      <formula>"M"</formula>
    </cfRule>
    <cfRule type="cellIs" dxfId="513" priority="237" stopIfTrue="1" operator="between">
      <formula>"NB"</formula>
      <formula>"NB^"</formula>
    </cfRule>
  </conditionalFormatting>
  <conditionalFormatting sqref="K28:K29">
    <cfRule type="cellIs" dxfId="512" priority="238" stopIfTrue="1" operator="equal">
      <formula>0</formula>
    </cfRule>
  </conditionalFormatting>
  <conditionalFormatting sqref="K8:L8 N8">
    <cfRule type="cellIs" dxfId="511" priority="232" stopIfTrue="1" operator="equal">
      <formula>"B"</formula>
    </cfRule>
    <cfRule type="cellIs" dxfId="510" priority="233" stopIfTrue="1" operator="equal">
      <formula>"M"</formula>
    </cfRule>
    <cfRule type="cellIs" dxfId="509" priority="234" stopIfTrue="1" operator="between">
      <formula>"NB"</formula>
      <formula>"NB^"</formula>
    </cfRule>
  </conditionalFormatting>
  <conditionalFormatting sqref="K18:L21">
    <cfRule type="cellIs" dxfId="508" priority="226" stopIfTrue="1" operator="equal">
      <formula>"B"</formula>
    </cfRule>
    <cfRule type="cellIs" dxfId="507" priority="227" stopIfTrue="1" operator="equal">
      <formula>"M"</formula>
    </cfRule>
    <cfRule type="cellIs" dxfId="506" priority="228" stopIfTrue="1" operator="between">
      <formula>"NB"</formula>
      <formula>"NB^"</formula>
    </cfRule>
  </conditionalFormatting>
  <conditionalFormatting sqref="K35">
    <cfRule type="cellIs" dxfId="505" priority="220" stopIfTrue="1" operator="equal">
      <formula>"B"</formula>
    </cfRule>
    <cfRule type="cellIs" dxfId="504" priority="221" stopIfTrue="1" operator="equal">
      <formula>"M"</formula>
    </cfRule>
    <cfRule type="cellIs" dxfId="503" priority="222" stopIfTrue="1" operator="between">
      <formula>"NB"</formula>
      <formula>"NB^"</formula>
    </cfRule>
  </conditionalFormatting>
  <conditionalFormatting sqref="K30:K33">
    <cfRule type="cellIs" dxfId="502" priority="229" stopIfTrue="1" operator="equal">
      <formula>"B"</formula>
    </cfRule>
    <cfRule type="cellIs" dxfId="501" priority="230" stopIfTrue="1" operator="equal">
      <formula>"M"</formula>
    </cfRule>
    <cfRule type="cellIs" dxfId="500" priority="231" stopIfTrue="1" operator="between">
      <formula>"NB"</formula>
      <formula>"NB^"</formula>
    </cfRule>
  </conditionalFormatting>
  <conditionalFormatting sqref="K34">
    <cfRule type="cellIs" dxfId="499" priority="223" stopIfTrue="1" operator="equal">
      <formula>"B"</formula>
    </cfRule>
    <cfRule type="cellIs" dxfId="498" priority="224" stopIfTrue="1" operator="equal">
      <formula>"M"</formula>
    </cfRule>
    <cfRule type="cellIs" dxfId="497" priority="225" stopIfTrue="1" operator="between">
      <formula>"NB"</formula>
      <formula>"NB^"</formula>
    </cfRule>
  </conditionalFormatting>
  <conditionalFormatting sqref="K9:L14">
    <cfRule type="cellIs" dxfId="496" priority="217" stopIfTrue="1" operator="equal">
      <formula>"B"</formula>
    </cfRule>
    <cfRule type="cellIs" dxfId="495" priority="218" stopIfTrue="1" operator="equal">
      <formula>"M"</formula>
    </cfRule>
    <cfRule type="cellIs" dxfId="494" priority="219" stopIfTrue="1" operator="between">
      <formula>"NB"</formula>
      <formula>"NB^"</formula>
    </cfRule>
  </conditionalFormatting>
  <conditionalFormatting sqref="AA6:AA7 AA30:AA33 AA27 AA18:AA22">
    <cfRule type="cellIs" dxfId="493" priority="210" stopIfTrue="1" operator="equal">
      <formula>"B"</formula>
    </cfRule>
    <cfRule type="cellIs" dxfId="492" priority="211" stopIfTrue="1" operator="equal">
      <formula>"M"</formula>
    </cfRule>
    <cfRule type="cellIs" dxfId="491" priority="212" stopIfTrue="1" operator="between">
      <formula>"NB"</formula>
      <formula>"NB^"</formula>
    </cfRule>
  </conditionalFormatting>
  <conditionalFormatting sqref="AA28:AA29">
    <cfRule type="cellIs" dxfId="490" priority="213" stopIfTrue="1" operator="equal">
      <formula>0</formula>
    </cfRule>
  </conditionalFormatting>
  <conditionalFormatting sqref="AA15:AA17">
    <cfRule type="cellIs" dxfId="489" priority="207" stopIfTrue="1" operator="equal">
      <formula>"B"</formula>
    </cfRule>
    <cfRule type="cellIs" dxfId="488" priority="208" stopIfTrue="1" operator="equal">
      <formula>"M"</formula>
    </cfRule>
    <cfRule type="cellIs" dxfId="487" priority="209" stopIfTrue="1" operator="between">
      <formula>"NB"</formula>
      <formula>"NB^"</formula>
    </cfRule>
  </conditionalFormatting>
  <conditionalFormatting sqref="AA8">
    <cfRule type="cellIs" dxfId="486" priority="204" stopIfTrue="1" operator="equal">
      <formula>"B"</formula>
    </cfRule>
    <cfRule type="cellIs" dxfId="485" priority="205" stopIfTrue="1" operator="equal">
      <formula>"M"</formula>
    </cfRule>
    <cfRule type="cellIs" dxfId="484" priority="206" stopIfTrue="1" operator="between">
      <formula>"NB"</formula>
      <formula>"NB^"</formula>
    </cfRule>
  </conditionalFormatting>
  <conditionalFormatting sqref="AA34">
    <cfRule type="cellIs" dxfId="483" priority="201" stopIfTrue="1" operator="equal">
      <formula>"B"</formula>
    </cfRule>
    <cfRule type="cellIs" dxfId="482" priority="202" stopIfTrue="1" operator="equal">
      <formula>"M"</formula>
    </cfRule>
    <cfRule type="cellIs" dxfId="481" priority="203" stopIfTrue="1" operator="between">
      <formula>"NB"</formula>
      <formula>"NB^"</formula>
    </cfRule>
  </conditionalFormatting>
  <conditionalFormatting sqref="AA35">
    <cfRule type="cellIs" dxfId="480" priority="198" stopIfTrue="1" operator="equal">
      <formula>"B"</formula>
    </cfRule>
    <cfRule type="cellIs" dxfId="479" priority="199" stopIfTrue="1" operator="equal">
      <formula>"M"</formula>
    </cfRule>
    <cfRule type="cellIs" dxfId="478" priority="200" stopIfTrue="1" operator="between">
      <formula>"NB"</formula>
      <formula>"NB^"</formula>
    </cfRule>
  </conditionalFormatting>
  <conditionalFormatting sqref="AA23:AA26 AA9:AA14">
    <cfRule type="cellIs" dxfId="477" priority="195" stopIfTrue="1" operator="equal">
      <formula>"B"</formula>
    </cfRule>
    <cfRule type="cellIs" dxfId="476" priority="196" stopIfTrue="1" operator="equal">
      <formula>"M"</formula>
    </cfRule>
    <cfRule type="cellIs" dxfId="475" priority="197" stopIfTrue="1" operator="between">
      <formula>"NB"</formula>
      <formula>"NB^"</formula>
    </cfRule>
  </conditionalFormatting>
  <conditionalFormatting sqref="AF18:AF22 AF6:AF7">
    <cfRule type="cellIs" dxfId="474" priority="192" stopIfTrue="1" operator="equal">
      <formula>"B"</formula>
    </cfRule>
    <cfRule type="cellIs" dxfId="473" priority="193" stopIfTrue="1" operator="equal">
      <formula>"M"</formula>
    </cfRule>
    <cfRule type="cellIs" dxfId="472" priority="194" stopIfTrue="1" operator="between">
      <formula>"NB"</formula>
      <formula>"NB^"</formula>
    </cfRule>
  </conditionalFormatting>
  <conditionalFormatting sqref="AF15:AF17">
    <cfRule type="cellIs" dxfId="471" priority="189" stopIfTrue="1" operator="equal">
      <formula>"B"</formula>
    </cfRule>
    <cfRule type="cellIs" dxfId="470" priority="190" stopIfTrue="1" operator="equal">
      <formula>"M"</formula>
    </cfRule>
    <cfRule type="cellIs" dxfId="469" priority="191" stopIfTrue="1" operator="between">
      <formula>"NB"</formula>
      <formula>"NB^"</formula>
    </cfRule>
  </conditionalFormatting>
  <conditionalFormatting sqref="AF8">
    <cfRule type="cellIs" dxfId="468" priority="186" stopIfTrue="1" operator="equal">
      <formula>"B"</formula>
    </cfRule>
    <cfRule type="cellIs" dxfId="467" priority="187" stopIfTrue="1" operator="equal">
      <formula>"M"</formula>
    </cfRule>
    <cfRule type="cellIs" dxfId="466" priority="188" stopIfTrue="1" operator="between">
      <formula>"NB"</formula>
      <formula>"NB^"</formula>
    </cfRule>
  </conditionalFormatting>
  <conditionalFormatting sqref="AF9:AF14">
    <cfRule type="cellIs" dxfId="465" priority="183" stopIfTrue="1" operator="equal">
      <formula>"B"</formula>
    </cfRule>
    <cfRule type="cellIs" dxfId="464" priority="184" stopIfTrue="1" operator="equal">
      <formula>"M"</formula>
    </cfRule>
    <cfRule type="cellIs" dxfId="463" priority="185" stopIfTrue="1" operator="between">
      <formula>"NB"</formula>
      <formula>"NB^"</formula>
    </cfRule>
  </conditionalFormatting>
  <conditionalFormatting sqref="E15:E17">
    <cfRule type="cellIs" dxfId="462" priority="160" stopIfTrue="1" operator="equal">
      <formula>"B"</formula>
    </cfRule>
    <cfRule type="cellIs" dxfId="461" priority="161" stopIfTrue="1" operator="equal">
      <formula>"M"</formula>
    </cfRule>
    <cfRule type="cellIs" dxfId="460" priority="162" stopIfTrue="1" operator="between">
      <formula>"NB"</formula>
      <formula>"NB^"</formula>
    </cfRule>
  </conditionalFormatting>
  <conditionalFormatting sqref="E27 E18:E21">
    <cfRule type="cellIs" dxfId="459" priority="157" stopIfTrue="1" operator="equal">
      <formula>"B"</formula>
    </cfRule>
    <cfRule type="cellIs" dxfId="458" priority="158" stopIfTrue="1" operator="equal">
      <formula>"M"</formula>
    </cfRule>
    <cfRule type="cellIs" dxfId="457" priority="159" stopIfTrue="1" operator="between">
      <formula>"NB"</formula>
      <formula>"NB^"</formula>
    </cfRule>
  </conditionalFormatting>
  <conditionalFormatting sqref="E6:E7">
    <cfRule type="cellIs" dxfId="456" priority="154" stopIfTrue="1" operator="equal">
      <formula>"B"</formula>
    </cfRule>
    <cfRule type="cellIs" dxfId="455" priority="155" stopIfTrue="1" operator="equal">
      <formula>"M"</formula>
    </cfRule>
    <cfRule type="cellIs" dxfId="454" priority="156" stopIfTrue="1" operator="between">
      <formula>"NB"</formula>
      <formula>"NB^"</formula>
    </cfRule>
  </conditionalFormatting>
  <conditionalFormatting sqref="E35">
    <cfRule type="cellIs" dxfId="453" priority="145" stopIfTrue="1" operator="equal">
      <formula>"B"</formula>
    </cfRule>
    <cfRule type="cellIs" dxfId="452" priority="146" stopIfTrue="1" operator="equal">
      <formula>"M"</formula>
    </cfRule>
    <cfRule type="cellIs" dxfId="451" priority="147" stopIfTrue="1" operator="between">
      <formula>"NB"</formula>
      <formula>"NB^"</formula>
    </cfRule>
  </conditionalFormatting>
  <conditionalFormatting sqref="E30:E33 E9:E14">
    <cfRule type="cellIs" dxfId="450" priority="164" stopIfTrue="1" operator="equal">
      <formula>"B"</formula>
    </cfRule>
    <cfRule type="cellIs" dxfId="449" priority="165" stopIfTrue="1" operator="equal">
      <formula>"M"</formula>
    </cfRule>
    <cfRule type="cellIs" dxfId="448" priority="166" stopIfTrue="1" operator="between">
      <formula>"NB"</formula>
      <formula>"NB^"</formula>
    </cfRule>
  </conditionalFormatting>
  <conditionalFormatting sqref="E28">
    <cfRule type="cellIs" dxfId="447" priority="167" stopIfTrue="1" operator="equal">
      <formula>0</formula>
    </cfRule>
  </conditionalFormatting>
  <conditionalFormatting sqref="E29">
    <cfRule type="cellIs" dxfId="446" priority="163" stopIfTrue="1" operator="equal">
      <formula>0</formula>
    </cfRule>
  </conditionalFormatting>
  <conditionalFormatting sqref="E22:E26">
    <cfRule type="cellIs" dxfId="445" priority="151" stopIfTrue="1" operator="equal">
      <formula>"B"</formula>
    </cfRule>
    <cfRule type="cellIs" dxfId="444" priority="152" stopIfTrue="1" operator="equal">
      <formula>"M"</formula>
    </cfRule>
    <cfRule type="cellIs" dxfId="443" priority="153" stopIfTrue="1" operator="between">
      <formula>"NB"</formula>
      <formula>"NB^"</formula>
    </cfRule>
  </conditionalFormatting>
  <conditionalFormatting sqref="E34">
    <cfRule type="cellIs" dxfId="442" priority="148" stopIfTrue="1" operator="equal">
      <formula>"B"</formula>
    </cfRule>
    <cfRule type="cellIs" dxfId="441" priority="149" stopIfTrue="1" operator="equal">
      <formula>"M"</formula>
    </cfRule>
    <cfRule type="cellIs" dxfId="440" priority="150" stopIfTrue="1" operator="between">
      <formula>"NB"</formula>
      <formula>"NB^"</formula>
    </cfRule>
  </conditionalFormatting>
  <conditionalFormatting sqref="E8">
    <cfRule type="cellIs" dxfId="439" priority="141" operator="equal">
      <formula>"B"</formula>
    </cfRule>
    <cfRule type="cellIs" dxfId="438" priority="142" operator="equal">
      <formula>0</formula>
    </cfRule>
    <cfRule type="cellIs" dxfId="437" priority="143" operator="equal">
      <formula>"NB"</formula>
    </cfRule>
    <cfRule type="cellIs" dxfId="436" priority="144" operator="equal">
      <formula>"M"</formula>
    </cfRule>
  </conditionalFormatting>
  <conditionalFormatting sqref="F15:J17">
    <cfRule type="cellIs" dxfId="435" priority="133" stopIfTrue="1" operator="equal">
      <formula>"B"</formula>
    </cfRule>
    <cfRule type="cellIs" dxfId="434" priority="134" stopIfTrue="1" operator="equal">
      <formula>"M"</formula>
    </cfRule>
    <cfRule type="cellIs" dxfId="433" priority="135" stopIfTrue="1" operator="between">
      <formula>"NB"</formula>
      <formula>"NB^"</formula>
    </cfRule>
  </conditionalFormatting>
  <conditionalFormatting sqref="F27:J27 F18:J21">
    <cfRule type="cellIs" dxfId="432" priority="130" stopIfTrue="1" operator="equal">
      <formula>"B"</formula>
    </cfRule>
    <cfRule type="cellIs" dxfId="431" priority="131" stopIfTrue="1" operator="equal">
      <formula>"M"</formula>
    </cfRule>
    <cfRule type="cellIs" dxfId="430" priority="132" stopIfTrue="1" operator="between">
      <formula>"NB"</formula>
      <formula>"NB^"</formula>
    </cfRule>
  </conditionalFormatting>
  <conditionalFormatting sqref="F6:J7">
    <cfRule type="cellIs" dxfId="429" priority="127" stopIfTrue="1" operator="equal">
      <formula>"B"</formula>
    </cfRule>
    <cfRule type="cellIs" dxfId="428" priority="128" stopIfTrue="1" operator="equal">
      <formula>"M"</formula>
    </cfRule>
    <cfRule type="cellIs" dxfId="427" priority="129" stopIfTrue="1" operator="between">
      <formula>"NB"</formula>
      <formula>"NB^"</formula>
    </cfRule>
  </conditionalFormatting>
  <conditionalFormatting sqref="F35:J35">
    <cfRule type="cellIs" dxfId="426" priority="118" stopIfTrue="1" operator="equal">
      <formula>"B"</formula>
    </cfRule>
    <cfRule type="cellIs" dxfId="425" priority="119" stopIfTrue="1" operator="equal">
      <formula>"M"</formula>
    </cfRule>
    <cfRule type="cellIs" dxfId="424" priority="120" stopIfTrue="1" operator="between">
      <formula>"NB"</formula>
      <formula>"NB^"</formula>
    </cfRule>
  </conditionalFormatting>
  <conditionalFormatting sqref="F30:J33 F9:J14">
    <cfRule type="cellIs" dxfId="423" priority="137" stopIfTrue="1" operator="equal">
      <formula>"B"</formula>
    </cfRule>
    <cfRule type="cellIs" dxfId="422" priority="138" stopIfTrue="1" operator="equal">
      <formula>"M"</formula>
    </cfRule>
    <cfRule type="cellIs" dxfId="421" priority="139" stopIfTrue="1" operator="between">
      <formula>"NB"</formula>
      <formula>"NB^"</formula>
    </cfRule>
  </conditionalFormatting>
  <conditionalFormatting sqref="F28:J28">
    <cfRule type="cellIs" dxfId="420" priority="140" stopIfTrue="1" operator="equal">
      <formula>0</formula>
    </cfRule>
  </conditionalFormatting>
  <conditionalFormatting sqref="F29:J29">
    <cfRule type="cellIs" dxfId="419" priority="136" stopIfTrue="1" operator="equal">
      <formula>0</formula>
    </cfRule>
  </conditionalFormatting>
  <conditionalFormatting sqref="F22:J26 K23:K26">
    <cfRule type="cellIs" dxfId="418" priority="124" stopIfTrue="1" operator="equal">
      <formula>"B"</formula>
    </cfRule>
    <cfRule type="cellIs" dxfId="417" priority="125" stopIfTrue="1" operator="equal">
      <formula>"M"</formula>
    </cfRule>
    <cfRule type="cellIs" dxfId="416" priority="126" stopIfTrue="1" operator="between">
      <formula>"NB"</formula>
      <formula>"NB^"</formula>
    </cfRule>
  </conditionalFormatting>
  <conditionalFormatting sqref="F34:J34">
    <cfRule type="cellIs" dxfId="415" priority="121" stopIfTrue="1" operator="equal">
      <formula>"B"</formula>
    </cfRule>
    <cfRule type="cellIs" dxfId="414" priority="122" stopIfTrue="1" operator="equal">
      <formula>"M"</formula>
    </cfRule>
    <cfRule type="cellIs" dxfId="413" priority="123" stopIfTrue="1" operator="between">
      <formula>"NB"</formula>
      <formula>"NB^"</formula>
    </cfRule>
  </conditionalFormatting>
  <conditionalFormatting sqref="F8:J8">
    <cfRule type="cellIs" dxfId="412" priority="114" operator="equal">
      <formula>"B"</formula>
    </cfRule>
    <cfRule type="cellIs" dxfId="411" priority="115" operator="equal">
      <formula>0</formula>
    </cfRule>
    <cfRule type="cellIs" dxfId="410" priority="116" operator="equal">
      <formula>"NB"</formula>
    </cfRule>
    <cfRule type="cellIs" dxfId="409" priority="117" operator="equal">
      <formula>"M"</formula>
    </cfRule>
  </conditionalFormatting>
  <conditionalFormatting sqref="M15:M17">
    <cfRule type="cellIs" dxfId="408" priority="111" stopIfTrue="1" operator="equal">
      <formula>"B"</formula>
    </cfRule>
    <cfRule type="cellIs" dxfId="407" priority="112" stopIfTrue="1" operator="equal">
      <formula>"M"</formula>
    </cfRule>
    <cfRule type="cellIs" dxfId="406" priority="113" stopIfTrue="1" operator="between">
      <formula>"NB"</formula>
      <formula>"NB^"</formula>
    </cfRule>
  </conditionalFormatting>
  <conditionalFormatting sqref="M6:M7 M27 M22">
    <cfRule type="cellIs" dxfId="405" priority="107" stopIfTrue="1" operator="equal">
      <formula>"B"</formula>
    </cfRule>
    <cfRule type="cellIs" dxfId="404" priority="108" stopIfTrue="1" operator="equal">
      <formula>"M"</formula>
    </cfRule>
    <cfRule type="cellIs" dxfId="403" priority="109" stopIfTrue="1" operator="between">
      <formula>"NB"</formula>
      <formula>"NB^"</formula>
    </cfRule>
  </conditionalFormatting>
  <conditionalFormatting sqref="M28:M29">
    <cfRule type="cellIs" dxfId="402" priority="110" stopIfTrue="1" operator="equal">
      <formula>0</formula>
    </cfRule>
  </conditionalFormatting>
  <conditionalFormatting sqref="M8">
    <cfRule type="cellIs" dxfId="401" priority="104" stopIfTrue="1" operator="equal">
      <formula>"B"</formula>
    </cfRule>
    <cfRule type="cellIs" dxfId="400" priority="105" stopIfTrue="1" operator="equal">
      <formula>"M"</formula>
    </cfRule>
    <cfRule type="cellIs" dxfId="399" priority="106" stopIfTrue="1" operator="between">
      <formula>"NB"</formula>
      <formula>"NB^"</formula>
    </cfRule>
  </conditionalFormatting>
  <conditionalFormatting sqref="M18:M21">
    <cfRule type="cellIs" dxfId="398" priority="98" stopIfTrue="1" operator="equal">
      <formula>"B"</formula>
    </cfRule>
    <cfRule type="cellIs" dxfId="397" priority="99" stopIfTrue="1" operator="equal">
      <formula>"M"</formula>
    </cfRule>
    <cfRule type="cellIs" dxfId="396" priority="100" stopIfTrue="1" operator="between">
      <formula>"NB"</formula>
      <formula>"NB^"</formula>
    </cfRule>
  </conditionalFormatting>
  <conditionalFormatting sqref="M35">
    <cfRule type="cellIs" dxfId="395" priority="92" stopIfTrue="1" operator="equal">
      <formula>"B"</formula>
    </cfRule>
    <cfRule type="cellIs" dxfId="394" priority="93" stopIfTrue="1" operator="equal">
      <formula>"M"</formula>
    </cfRule>
    <cfRule type="cellIs" dxfId="393" priority="94" stopIfTrue="1" operator="between">
      <formula>"NB"</formula>
      <formula>"NB^"</formula>
    </cfRule>
  </conditionalFormatting>
  <conditionalFormatting sqref="M30:M33">
    <cfRule type="cellIs" dxfId="392" priority="101" stopIfTrue="1" operator="equal">
      <formula>"B"</formula>
    </cfRule>
    <cfRule type="cellIs" dxfId="391" priority="102" stopIfTrue="1" operator="equal">
      <formula>"M"</formula>
    </cfRule>
    <cfRule type="cellIs" dxfId="390" priority="103" stopIfTrue="1" operator="between">
      <formula>"NB"</formula>
      <formula>"NB^"</formula>
    </cfRule>
  </conditionalFormatting>
  <conditionalFormatting sqref="M34">
    <cfRule type="cellIs" dxfId="389" priority="95" stopIfTrue="1" operator="equal">
      <formula>"B"</formula>
    </cfRule>
    <cfRule type="cellIs" dxfId="388" priority="96" stopIfTrue="1" operator="equal">
      <formula>"M"</formula>
    </cfRule>
    <cfRule type="cellIs" dxfId="387" priority="97" stopIfTrue="1" operator="between">
      <formula>"NB"</formula>
      <formula>"NB^"</formula>
    </cfRule>
  </conditionalFormatting>
  <conditionalFormatting sqref="M9:M14">
    <cfRule type="cellIs" dxfId="386" priority="89" stopIfTrue="1" operator="equal">
      <formula>"B"</formula>
    </cfRule>
    <cfRule type="cellIs" dxfId="385" priority="90" stopIfTrue="1" operator="equal">
      <formula>"M"</formula>
    </cfRule>
    <cfRule type="cellIs" dxfId="384" priority="91" stopIfTrue="1" operator="between">
      <formula>"NB"</formula>
      <formula>"NB^"</formula>
    </cfRule>
  </conditionalFormatting>
  <conditionalFormatting sqref="M23:M26">
    <cfRule type="cellIs" dxfId="383" priority="86" stopIfTrue="1" operator="equal">
      <formula>"B"</formula>
    </cfRule>
    <cfRule type="cellIs" dxfId="382" priority="87" stopIfTrue="1" operator="equal">
      <formula>"M"</formula>
    </cfRule>
    <cfRule type="cellIs" dxfId="381" priority="88" stopIfTrue="1" operator="between">
      <formula>"NB"</formula>
      <formula>"NB^"</formula>
    </cfRule>
  </conditionalFormatting>
  <conditionalFormatting sqref="O6:Q7 O18:Q22 O30:Q33 O27:Q27">
    <cfRule type="cellIs" dxfId="380" priority="82" stopIfTrue="1" operator="equal">
      <formula>"B"</formula>
    </cfRule>
    <cfRule type="cellIs" dxfId="379" priority="83" stopIfTrue="1" operator="equal">
      <formula>"M"</formula>
    </cfRule>
    <cfRule type="cellIs" dxfId="378" priority="84" stopIfTrue="1" operator="between">
      <formula>"NB"</formula>
      <formula>"NB^"</formula>
    </cfRule>
  </conditionalFormatting>
  <conditionalFormatting sqref="O28:Q29">
    <cfRule type="cellIs" dxfId="377" priority="85" stopIfTrue="1" operator="equal">
      <formula>0</formula>
    </cfRule>
  </conditionalFormatting>
  <conditionalFormatting sqref="O34:Q34">
    <cfRule type="cellIs" dxfId="376" priority="79" stopIfTrue="1" operator="equal">
      <formula>"B"</formula>
    </cfRule>
    <cfRule type="cellIs" dxfId="375" priority="80" stopIfTrue="1" operator="equal">
      <formula>"M"</formula>
    </cfRule>
    <cfRule type="cellIs" dxfId="374" priority="81" stopIfTrue="1" operator="between">
      <formula>"NB"</formula>
      <formula>"NB^"</formula>
    </cfRule>
  </conditionalFormatting>
  <conditionalFormatting sqref="O35:Q35">
    <cfRule type="cellIs" dxfId="373" priority="76" stopIfTrue="1" operator="equal">
      <formula>"B"</formula>
    </cfRule>
    <cfRule type="cellIs" dxfId="372" priority="77" stopIfTrue="1" operator="equal">
      <formula>"M"</formula>
    </cfRule>
    <cfRule type="cellIs" dxfId="371" priority="78" stopIfTrue="1" operator="between">
      <formula>"NB"</formula>
      <formula>"NB^"</formula>
    </cfRule>
  </conditionalFormatting>
  <conditionalFormatting sqref="O15:Q17">
    <cfRule type="cellIs" dxfId="370" priority="73" stopIfTrue="1" operator="equal">
      <formula>"B"</formula>
    </cfRule>
    <cfRule type="cellIs" dxfId="369" priority="74" stopIfTrue="1" operator="equal">
      <formula>"M"</formula>
    </cfRule>
    <cfRule type="cellIs" dxfId="368" priority="75" stopIfTrue="1" operator="between">
      <formula>"NB"</formula>
      <formula>"NB^"</formula>
    </cfRule>
  </conditionalFormatting>
  <conditionalFormatting sqref="O25:P26">
    <cfRule type="cellIs" dxfId="367" priority="70" stopIfTrue="1" operator="equal">
      <formula>"B"</formula>
    </cfRule>
    <cfRule type="cellIs" dxfId="366" priority="71" stopIfTrue="1" operator="equal">
      <formula>"M"</formula>
    </cfRule>
    <cfRule type="cellIs" dxfId="365" priority="72" stopIfTrue="1" operator="between">
      <formula>"NB"</formula>
      <formula>"NB^"</formula>
    </cfRule>
  </conditionalFormatting>
  <conditionalFormatting sqref="O8:Q8">
    <cfRule type="cellIs" dxfId="364" priority="67" stopIfTrue="1" operator="equal">
      <formula>"B"</formula>
    </cfRule>
    <cfRule type="cellIs" dxfId="363" priority="68" stopIfTrue="1" operator="equal">
      <formula>"M"</formula>
    </cfRule>
    <cfRule type="cellIs" dxfId="362" priority="69" stopIfTrue="1" operator="between">
      <formula>"NB"</formula>
      <formula>"NB^"</formula>
    </cfRule>
  </conditionalFormatting>
  <conditionalFormatting sqref="S9:S14 S33 S6:S7 S18:S21">
    <cfRule type="cellIs" dxfId="361" priority="64" stopIfTrue="1" operator="equal">
      <formula>"B"</formula>
    </cfRule>
    <cfRule type="cellIs" dxfId="360" priority="65" stopIfTrue="1" operator="equal">
      <formula>"M"</formula>
    </cfRule>
    <cfRule type="cellIs" dxfId="359" priority="66" stopIfTrue="1" operator="between">
      <formula>"NB"</formula>
      <formula>"NB^"</formula>
    </cfRule>
  </conditionalFormatting>
  <conditionalFormatting sqref="S8">
    <cfRule type="cellIs" dxfId="358" priority="61" stopIfTrue="1" operator="equal">
      <formula>"B"</formula>
    </cfRule>
    <cfRule type="cellIs" dxfId="357" priority="62" stopIfTrue="1" operator="equal">
      <formula>"M"</formula>
    </cfRule>
    <cfRule type="cellIs" dxfId="356" priority="63" stopIfTrue="1" operator="between">
      <formula>"NB"</formula>
      <formula>"NB^"</formula>
    </cfRule>
  </conditionalFormatting>
  <conditionalFormatting sqref="S34">
    <cfRule type="cellIs" dxfId="355" priority="58" stopIfTrue="1" operator="equal">
      <formula>"B"</formula>
    </cfRule>
    <cfRule type="cellIs" dxfId="354" priority="59" stopIfTrue="1" operator="equal">
      <formula>"M"</formula>
    </cfRule>
    <cfRule type="cellIs" dxfId="353" priority="60" stopIfTrue="1" operator="between">
      <formula>"NB"</formula>
      <formula>"NB^"</formula>
    </cfRule>
  </conditionalFormatting>
  <conditionalFormatting sqref="S35">
    <cfRule type="cellIs" dxfId="352" priority="55" stopIfTrue="1" operator="equal">
      <formula>"B"</formula>
    </cfRule>
    <cfRule type="cellIs" dxfId="351" priority="56" stopIfTrue="1" operator="equal">
      <formula>"M"</formula>
    </cfRule>
    <cfRule type="cellIs" dxfId="350" priority="57" stopIfTrue="1" operator="between">
      <formula>"NB"</formula>
      <formula>"NB^"</formula>
    </cfRule>
  </conditionalFormatting>
  <conditionalFormatting sqref="S15:S17">
    <cfRule type="cellIs" dxfId="349" priority="52" stopIfTrue="1" operator="equal">
      <formula>"B"</formula>
    </cfRule>
    <cfRule type="cellIs" dxfId="348" priority="53" stopIfTrue="1" operator="equal">
      <formula>"M"</formula>
    </cfRule>
    <cfRule type="cellIs" dxfId="347" priority="54" stopIfTrue="1" operator="between">
      <formula>"NB"</formula>
      <formula>"NB^"</formula>
    </cfRule>
  </conditionalFormatting>
  <conditionalFormatting sqref="S22:S27 S30:S32">
    <cfRule type="cellIs" dxfId="346" priority="48" stopIfTrue="1" operator="equal">
      <formula>"B"</formula>
    </cfRule>
    <cfRule type="cellIs" dxfId="345" priority="49" stopIfTrue="1" operator="equal">
      <formula>"M"</formula>
    </cfRule>
    <cfRule type="cellIs" dxfId="344" priority="50" stopIfTrue="1" operator="between">
      <formula>"NB"</formula>
      <formula>"NB^"</formula>
    </cfRule>
  </conditionalFormatting>
  <conditionalFormatting sqref="S28:S29">
    <cfRule type="cellIs" dxfId="343" priority="51" stopIfTrue="1" operator="equal">
      <formula>0</formula>
    </cfRule>
  </conditionalFormatting>
  <conditionalFormatting sqref="T9:W14 T6:W7 T18:X21 T33:X33">
    <cfRule type="cellIs" dxfId="342" priority="45" stopIfTrue="1" operator="equal">
      <formula>"B"</formula>
    </cfRule>
    <cfRule type="cellIs" dxfId="341" priority="46" stopIfTrue="1" operator="equal">
      <formula>"M"</formula>
    </cfRule>
    <cfRule type="cellIs" dxfId="340" priority="47" stopIfTrue="1" operator="between">
      <formula>"NB"</formula>
      <formula>"NB^"</formula>
    </cfRule>
  </conditionalFormatting>
  <conditionalFormatting sqref="T8:W8">
    <cfRule type="cellIs" dxfId="339" priority="42" stopIfTrue="1" operator="equal">
      <formula>"B"</formula>
    </cfRule>
    <cfRule type="cellIs" dxfId="338" priority="43" stopIfTrue="1" operator="equal">
      <formula>"M"</formula>
    </cfRule>
    <cfRule type="cellIs" dxfId="337" priority="44" stopIfTrue="1" operator="between">
      <formula>"NB"</formula>
      <formula>"NB^"</formula>
    </cfRule>
  </conditionalFormatting>
  <conditionalFormatting sqref="T34:X34">
    <cfRule type="cellIs" dxfId="336" priority="39" stopIfTrue="1" operator="equal">
      <formula>"B"</formula>
    </cfRule>
    <cfRule type="cellIs" dxfId="335" priority="40" stopIfTrue="1" operator="equal">
      <formula>"M"</formula>
    </cfRule>
    <cfRule type="cellIs" dxfId="334" priority="41" stopIfTrue="1" operator="between">
      <formula>"NB"</formula>
      <formula>"NB^"</formula>
    </cfRule>
  </conditionalFormatting>
  <conditionalFormatting sqref="T35:X35">
    <cfRule type="cellIs" dxfId="333" priority="36" stopIfTrue="1" operator="equal">
      <formula>"B"</formula>
    </cfRule>
    <cfRule type="cellIs" dxfId="332" priority="37" stopIfTrue="1" operator="equal">
      <formula>"M"</formula>
    </cfRule>
    <cfRule type="cellIs" dxfId="331" priority="38" stopIfTrue="1" operator="between">
      <formula>"NB"</formula>
      <formula>"NB^"</formula>
    </cfRule>
  </conditionalFormatting>
  <conditionalFormatting sqref="T15:X17">
    <cfRule type="cellIs" dxfId="330" priority="33" stopIfTrue="1" operator="equal">
      <formula>"B"</formula>
    </cfRule>
    <cfRule type="cellIs" dxfId="329" priority="34" stopIfTrue="1" operator="equal">
      <formula>"M"</formula>
    </cfRule>
    <cfRule type="cellIs" dxfId="328" priority="35" stopIfTrue="1" operator="between">
      <formula>"NB"</formula>
      <formula>"NB^"</formula>
    </cfRule>
  </conditionalFormatting>
  <conditionalFormatting sqref="T22:W27 X27 T30:X32">
    <cfRule type="cellIs" dxfId="327" priority="29" stopIfTrue="1" operator="equal">
      <formula>"B"</formula>
    </cfRule>
    <cfRule type="cellIs" dxfId="326" priority="30" stopIfTrue="1" operator="equal">
      <formula>"M"</formula>
    </cfRule>
    <cfRule type="cellIs" dxfId="325" priority="31" stopIfTrue="1" operator="between">
      <formula>"NB"</formula>
      <formula>"NB^"</formula>
    </cfRule>
  </conditionalFormatting>
  <conditionalFormatting sqref="T28:X29">
    <cfRule type="cellIs" dxfId="324" priority="32" stopIfTrue="1" operator="equal">
      <formula>0</formula>
    </cfRule>
  </conditionalFormatting>
  <conditionalFormatting sqref="AG23:AG24">
    <cfRule type="cellIs" dxfId="323" priority="26" stopIfTrue="1" operator="equal">
      <formula>"B"</formula>
    </cfRule>
    <cfRule type="cellIs" dxfId="322" priority="27" stopIfTrue="1" operator="equal">
      <formula>"M"</formula>
    </cfRule>
    <cfRule type="cellIs" dxfId="321" priority="28" stopIfTrue="1" operator="between">
      <formula>"NB"</formula>
      <formula>"NB^"</formula>
    </cfRule>
  </conditionalFormatting>
  <conditionalFormatting sqref="AG25:AG26">
    <cfRule type="cellIs" dxfId="320" priority="23" stopIfTrue="1" operator="equal">
      <formula>"B"</formula>
    </cfRule>
    <cfRule type="cellIs" dxfId="319" priority="24" stopIfTrue="1" operator="equal">
      <formula>"M"</formula>
    </cfRule>
    <cfRule type="cellIs" dxfId="318" priority="25" stopIfTrue="1" operator="between">
      <formula>"NB"</formula>
      <formula>"NB^"</formula>
    </cfRule>
  </conditionalFormatting>
  <conditionalFormatting sqref="AG30:AG33 AG27">
    <cfRule type="cellIs" dxfId="317" priority="19" stopIfTrue="1" operator="equal">
      <formula>"B"</formula>
    </cfRule>
    <cfRule type="cellIs" dxfId="316" priority="20" stopIfTrue="1" operator="equal">
      <formula>"M"</formula>
    </cfRule>
    <cfRule type="cellIs" dxfId="315" priority="21" stopIfTrue="1" operator="between">
      <formula>"NB"</formula>
      <formula>"NB^"</formula>
    </cfRule>
  </conditionalFormatting>
  <conditionalFormatting sqref="AG28:AG29">
    <cfRule type="cellIs" dxfId="314" priority="22" stopIfTrue="1" operator="equal">
      <formula>0</formula>
    </cfRule>
  </conditionalFormatting>
  <conditionalFormatting sqref="AG34">
    <cfRule type="cellIs" dxfId="313" priority="16" stopIfTrue="1" operator="equal">
      <formula>"B"</formula>
    </cfRule>
    <cfRule type="cellIs" dxfId="312" priority="17" stopIfTrue="1" operator="equal">
      <formula>"M"</formula>
    </cfRule>
    <cfRule type="cellIs" dxfId="311" priority="18" stopIfTrue="1" operator="between">
      <formula>"NB"</formula>
      <formula>"NB^"</formula>
    </cfRule>
  </conditionalFormatting>
  <conditionalFormatting sqref="AG35">
    <cfRule type="cellIs" dxfId="310" priority="13" stopIfTrue="1" operator="equal">
      <formula>"B"</formula>
    </cfRule>
    <cfRule type="cellIs" dxfId="309" priority="14" stopIfTrue="1" operator="equal">
      <formula>"M"</formula>
    </cfRule>
    <cfRule type="cellIs" dxfId="308" priority="15" stopIfTrue="1" operator="between">
      <formula>"NB"</formula>
      <formula>"NB^"</formula>
    </cfRule>
  </conditionalFormatting>
  <conditionalFormatting sqref="AG18:AG22 AG6:AG7">
    <cfRule type="cellIs" dxfId="307" priority="10" stopIfTrue="1" operator="equal">
      <formula>"B"</formula>
    </cfRule>
    <cfRule type="cellIs" dxfId="306" priority="11" stopIfTrue="1" operator="equal">
      <formula>"M"</formula>
    </cfRule>
    <cfRule type="cellIs" dxfId="305" priority="12" stopIfTrue="1" operator="between">
      <formula>"NB"</formula>
      <formula>"NB^"</formula>
    </cfRule>
  </conditionalFormatting>
  <conditionalFormatting sqref="AG15:AG17">
    <cfRule type="cellIs" dxfId="304" priority="7" stopIfTrue="1" operator="equal">
      <formula>"B"</formula>
    </cfRule>
    <cfRule type="cellIs" dxfId="303" priority="8" stopIfTrue="1" operator="equal">
      <formula>"M"</formula>
    </cfRule>
    <cfRule type="cellIs" dxfId="302" priority="9" stopIfTrue="1" operator="between">
      <formula>"NB"</formula>
      <formula>"NB^"</formula>
    </cfRule>
  </conditionalFormatting>
  <conditionalFormatting sqref="AG8">
    <cfRule type="cellIs" dxfId="301" priority="4" stopIfTrue="1" operator="equal">
      <formula>"B"</formula>
    </cfRule>
    <cfRule type="cellIs" dxfId="300" priority="5" stopIfTrue="1" operator="equal">
      <formula>"M"</formula>
    </cfRule>
    <cfRule type="cellIs" dxfId="299" priority="6" stopIfTrue="1" operator="between">
      <formula>"NB"</formula>
      <formula>"NB^"</formula>
    </cfRule>
  </conditionalFormatting>
  <conditionalFormatting sqref="AG9:AG14">
    <cfRule type="cellIs" dxfId="298" priority="1" stopIfTrue="1" operator="equal">
      <formula>"B"</formula>
    </cfRule>
    <cfRule type="cellIs" dxfId="297" priority="2" stopIfTrue="1" operator="equal">
      <formula>"M"</formula>
    </cfRule>
    <cfRule type="cellIs" dxfId="296" priority="3" stopIfTrue="1" operator="between">
      <formula>"NB"</formula>
      <formula>"NB^"</formula>
    </cfRule>
  </conditionalFormatting>
  <pageMargins left="0.75" right="0.75" top="1" bottom="1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R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4" width="5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91</v>
      </c>
    </row>
    <row r="3" spans="1:44" ht="23.25" x14ac:dyDescent="0.35">
      <c r="A3" s="1" t="s">
        <v>2</v>
      </c>
      <c r="P3" s="4" t="s">
        <v>112</v>
      </c>
    </row>
    <row r="4" spans="1:44" s="5" customFormat="1" ht="15.75" customHeight="1" thickBot="1" x14ac:dyDescent="0.3">
      <c r="C4" s="6"/>
      <c r="G4" s="6" t="s">
        <v>3</v>
      </c>
      <c r="H4" s="5" t="s">
        <v>3</v>
      </c>
      <c r="N4" s="6" t="s">
        <v>3</v>
      </c>
      <c r="O4" s="5" t="s">
        <v>3</v>
      </c>
      <c r="U4" s="5" t="s">
        <v>3</v>
      </c>
      <c r="V4" s="5" t="s">
        <v>3</v>
      </c>
      <c r="AB4" s="5" t="s">
        <v>4</v>
      </c>
      <c r="AC4" s="5" t="s">
        <v>3</v>
      </c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0">
        <v>31</v>
      </c>
      <c r="AI5" s="11" t="s">
        <v>6</v>
      </c>
      <c r="AJ5"/>
      <c r="AK5"/>
      <c r="AL5"/>
      <c r="AM5"/>
      <c r="AN5"/>
      <c r="AO5"/>
      <c r="AP5"/>
      <c r="AQ5"/>
      <c r="AR5"/>
    </row>
    <row r="6" spans="1:44" ht="15.75" customHeight="1" x14ac:dyDescent="0.25">
      <c r="A6" s="156" t="s">
        <v>7</v>
      </c>
      <c r="B6" s="157"/>
      <c r="C6" s="158"/>
      <c r="D6" s="72" t="s">
        <v>22</v>
      </c>
      <c r="E6" s="72" t="s">
        <v>22</v>
      </c>
      <c r="F6" s="72" t="s">
        <v>22</v>
      </c>
      <c r="G6" s="72" t="s">
        <v>22</v>
      </c>
      <c r="H6" s="72" t="s">
        <v>22</v>
      </c>
      <c r="I6" s="72" t="s">
        <v>9</v>
      </c>
      <c r="J6" s="72" t="s">
        <v>8</v>
      </c>
      <c r="K6" s="72" t="s">
        <v>8</v>
      </c>
      <c r="L6" s="72" t="s">
        <v>8</v>
      </c>
      <c r="M6" s="72" t="s">
        <v>8</v>
      </c>
      <c r="N6" s="72" t="s">
        <v>8</v>
      </c>
      <c r="O6" s="72" t="s">
        <v>8</v>
      </c>
      <c r="P6" s="72" t="s">
        <v>8</v>
      </c>
      <c r="Q6" s="72" t="s">
        <v>8</v>
      </c>
      <c r="R6" s="72" t="s">
        <v>8</v>
      </c>
      <c r="S6" s="72" t="s">
        <v>8</v>
      </c>
      <c r="T6" s="72" t="s">
        <v>8</v>
      </c>
      <c r="U6" s="72" t="s">
        <v>8</v>
      </c>
      <c r="V6" s="72" t="s">
        <v>9</v>
      </c>
      <c r="W6" s="72" t="s">
        <v>9</v>
      </c>
      <c r="X6" s="72" t="s">
        <v>9</v>
      </c>
      <c r="Y6" s="72" t="s">
        <v>9</v>
      </c>
      <c r="Z6" s="72" t="s">
        <v>9</v>
      </c>
      <c r="AA6" s="72" t="s">
        <v>8</v>
      </c>
      <c r="AB6" s="72" t="s">
        <v>8</v>
      </c>
      <c r="AC6" s="72" t="s">
        <v>8</v>
      </c>
      <c r="AD6" s="72" t="s">
        <v>8</v>
      </c>
      <c r="AE6" s="72" t="s">
        <v>9</v>
      </c>
      <c r="AF6" s="72" t="s">
        <v>9</v>
      </c>
      <c r="AG6" s="72" t="s">
        <v>9</v>
      </c>
      <c r="AH6" s="72" t="s">
        <v>8</v>
      </c>
      <c r="AI6" s="13">
        <f>IF(COUNTA(D6:AH6)&gt;0,(COUNTA(D6:AH6)-COUNTIF(D6:AH6,"NB")-COUNTIF(D6:AH6,"DN")-COUNTIF(D6:AH6,"An")-COUNTIF(D6:AH6,"NB^")-COUNTIF(D6:AH6,0))/COUNTA(D6:AH6),"")</f>
        <v>1</v>
      </c>
    </row>
    <row r="7" spans="1:44" ht="15.75" customHeight="1" x14ac:dyDescent="0.25">
      <c r="A7" s="180" t="s">
        <v>10</v>
      </c>
      <c r="B7" s="181"/>
      <c r="C7" s="182"/>
      <c r="D7" s="14" t="s">
        <v>22</v>
      </c>
      <c r="E7" s="14" t="s">
        <v>22</v>
      </c>
      <c r="F7" s="14" t="s">
        <v>22</v>
      </c>
      <c r="G7" s="14" t="s">
        <v>22</v>
      </c>
      <c r="H7" s="14" t="s">
        <v>22</v>
      </c>
      <c r="I7" s="14" t="s">
        <v>11</v>
      </c>
      <c r="J7" s="14" t="s">
        <v>11</v>
      </c>
      <c r="K7" s="14" t="s">
        <v>11</v>
      </c>
      <c r="L7" s="14" t="s">
        <v>11</v>
      </c>
      <c r="M7" s="14" t="s">
        <v>11</v>
      </c>
      <c r="N7" s="14" t="s">
        <v>11</v>
      </c>
      <c r="O7" s="14" t="s">
        <v>11</v>
      </c>
      <c r="P7" s="14" t="s">
        <v>11</v>
      </c>
      <c r="Q7" s="14" t="s">
        <v>11</v>
      </c>
      <c r="R7" s="14" t="s">
        <v>11</v>
      </c>
      <c r="S7" s="14" t="s">
        <v>11</v>
      </c>
      <c r="T7" s="14" t="s">
        <v>11</v>
      </c>
      <c r="U7" s="14" t="s">
        <v>11</v>
      </c>
      <c r="V7" s="14" t="s">
        <v>11</v>
      </c>
      <c r="W7" s="14" t="s">
        <v>11</v>
      </c>
      <c r="X7" s="14" t="s">
        <v>11</v>
      </c>
      <c r="Y7" s="14" t="s">
        <v>11</v>
      </c>
      <c r="Z7" s="14" t="s">
        <v>11</v>
      </c>
      <c r="AA7" s="14" t="s">
        <v>11</v>
      </c>
      <c r="AB7" s="14" t="s">
        <v>11</v>
      </c>
      <c r="AC7" s="14" t="s">
        <v>11</v>
      </c>
      <c r="AD7" s="73" t="s">
        <v>11</v>
      </c>
      <c r="AE7" s="73" t="s">
        <v>11</v>
      </c>
      <c r="AF7" s="73" t="s">
        <v>11</v>
      </c>
      <c r="AG7" s="73" t="s">
        <v>11</v>
      </c>
      <c r="AH7" s="73" t="s">
        <v>11</v>
      </c>
      <c r="AI7" s="17">
        <f t="shared" ref="AI7:AI35" si="0">IF(COUNTA(D7:AH7)&gt;0,(COUNTA(D7:AH7)-COUNTIF(D7:AH7,"NB")-COUNTIF(D7:AH7,"DN")-COUNTIF(D7:AH7,"An")-COUNTIF(D7:AH7,"NB^")-COUNTIF(D7:AH7,0))/COUNTA(D7:AH7),"")</f>
        <v>1</v>
      </c>
    </row>
    <row r="8" spans="1:44" ht="15.75" customHeight="1" x14ac:dyDescent="0.25">
      <c r="A8" s="162" t="s">
        <v>93</v>
      </c>
      <c r="B8" s="163"/>
      <c r="C8" s="164"/>
      <c r="D8" s="18" t="s">
        <v>22</v>
      </c>
      <c r="E8" s="18" t="s">
        <v>22</v>
      </c>
      <c r="F8" s="18" t="s">
        <v>22</v>
      </c>
      <c r="G8" s="18" t="s">
        <v>22</v>
      </c>
      <c r="H8" s="18" t="s">
        <v>22</v>
      </c>
      <c r="I8" s="18" t="s">
        <v>11</v>
      </c>
      <c r="J8" s="18" t="s">
        <v>11</v>
      </c>
      <c r="K8" s="18" t="s">
        <v>11</v>
      </c>
      <c r="L8" s="18" t="s">
        <v>11</v>
      </c>
      <c r="M8" s="18" t="s">
        <v>11</v>
      </c>
      <c r="N8" s="18" t="s">
        <v>11</v>
      </c>
      <c r="O8" s="18" t="s">
        <v>11</v>
      </c>
      <c r="P8" s="18" t="s">
        <v>11</v>
      </c>
      <c r="Q8" s="18" t="s">
        <v>11</v>
      </c>
      <c r="R8" s="18" t="s">
        <v>11</v>
      </c>
      <c r="S8" s="18" t="s">
        <v>11</v>
      </c>
      <c r="T8" s="18" t="s">
        <v>11</v>
      </c>
      <c r="U8" s="18" t="s">
        <v>11</v>
      </c>
      <c r="V8" s="18" t="s">
        <v>11</v>
      </c>
      <c r="W8" s="18" t="s">
        <v>11</v>
      </c>
      <c r="X8" s="18" t="s">
        <v>11</v>
      </c>
      <c r="Y8" s="18" t="s">
        <v>11</v>
      </c>
      <c r="Z8" s="18" t="s">
        <v>11</v>
      </c>
      <c r="AA8" s="18" t="s">
        <v>11</v>
      </c>
      <c r="AB8" s="18" t="s">
        <v>11</v>
      </c>
      <c r="AC8" s="18" t="s">
        <v>11</v>
      </c>
      <c r="AD8" s="18" t="s">
        <v>11</v>
      </c>
      <c r="AE8" s="18" t="s">
        <v>11</v>
      </c>
      <c r="AF8" s="18" t="s">
        <v>11</v>
      </c>
      <c r="AG8" s="18" t="s">
        <v>11</v>
      </c>
      <c r="AH8" s="18" t="s">
        <v>11</v>
      </c>
      <c r="AI8" s="19">
        <f t="shared" si="0"/>
        <v>1</v>
      </c>
    </row>
    <row r="9" spans="1:44" ht="15.75" customHeight="1" x14ac:dyDescent="0.25">
      <c r="A9" s="174" t="s">
        <v>13</v>
      </c>
      <c r="B9" s="175"/>
      <c r="C9" s="176"/>
      <c r="D9" s="20" t="s">
        <v>11</v>
      </c>
      <c r="E9" s="79" t="s">
        <v>11</v>
      </c>
      <c r="F9" s="79" t="s">
        <v>12</v>
      </c>
      <c r="G9" s="79" t="s">
        <v>12</v>
      </c>
      <c r="H9" s="79" t="s">
        <v>12</v>
      </c>
      <c r="I9" s="79" t="s">
        <v>12</v>
      </c>
      <c r="J9" s="79" t="s">
        <v>11</v>
      </c>
      <c r="K9" s="79" t="s">
        <v>11</v>
      </c>
      <c r="L9" s="79" t="s">
        <v>11</v>
      </c>
      <c r="M9" s="79" t="s">
        <v>11</v>
      </c>
      <c r="N9" s="79" t="s">
        <v>11</v>
      </c>
      <c r="O9" s="79" t="s">
        <v>11</v>
      </c>
      <c r="P9" s="79" t="s">
        <v>11</v>
      </c>
      <c r="Q9" s="79" t="s">
        <v>11</v>
      </c>
      <c r="R9" s="79" t="s">
        <v>11</v>
      </c>
      <c r="S9" s="79" t="s">
        <v>11</v>
      </c>
      <c r="T9" s="79" t="s">
        <v>11</v>
      </c>
      <c r="U9" s="79" t="s">
        <v>11</v>
      </c>
      <c r="V9" s="79" t="s">
        <v>11</v>
      </c>
      <c r="W9" s="79" t="s">
        <v>11</v>
      </c>
      <c r="X9" s="79" t="s">
        <v>11</v>
      </c>
      <c r="Y9" s="79" t="s">
        <v>11</v>
      </c>
      <c r="Z9" s="79" t="s">
        <v>11</v>
      </c>
      <c r="AA9" s="79" t="s">
        <v>12</v>
      </c>
      <c r="AB9" s="79" t="s">
        <v>12</v>
      </c>
      <c r="AC9" s="79" t="s">
        <v>12</v>
      </c>
      <c r="AD9" s="79" t="s">
        <v>11</v>
      </c>
      <c r="AE9" s="79" t="s">
        <v>11</v>
      </c>
      <c r="AF9" s="79" t="s">
        <v>11</v>
      </c>
      <c r="AG9" s="79" t="s">
        <v>11</v>
      </c>
      <c r="AH9" s="79" t="s">
        <v>12</v>
      </c>
      <c r="AI9" s="13">
        <f t="shared" si="0"/>
        <v>0.74193548387096775</v>
      </c>
    </row>
    <row r="10" spans="1:44" ht="15.75" customHeight="1" x14ac:dyDescent="0.25">
      <c r="A10" s="177" t="s">
        <v>14</v>
      </c>
      <c r="B10" s="178"/>
      <c r="C10" s="179"/>
      <c r="D10" s="16" t="s">
        <v>11</v>
      </c>
      <c r="E10" s="80" t="s">
        <v>11</v>
      </c>
      <c r="F10" s="80" t="s">
        <v>12</v>
      </c>
      <c r="G10" s="80" t="s">
        <v>12</v>
      </c>
      <c r="H10" s="80" t="s">
        <v>12</v>
      </c>
      <c r="I10" s="80" t="s">
        <v>12</v>
      </c>
      <c r="J10" s="80" t="s">
        <v>11</v>
      </c>
      <c r="K10" s="80" t="s">
        <v>11</v>
      </c>
      <c r="L10" s="80" t="s">
        <v>11</v>
      </c>
      <c r="M10" s="80" t="s">
        <v>11</v>
      </c>
      <c r="N10" s="80" t="s">
        <v>11</v>
      </c>
      <c r="O10" s="80" t="s">
        <v>11</v>
      </c>
      <c r="P10" s="80" t="s">
        <v>11</v>
      </c>
      <c r="Q10" s="80" t="s">
        <v>11</v>
      </c>
      <c r="R10" s="80" t="s">
        <v>11</v>
      </c>
      <c r="S10" s="80" t="s">
        <v>11</v>
      </c>
      <c r="T10" s="80" t="s">
        <v>11</v>
      </c>
      <c r="U10" s="80" t="s">
        <v>11</v>
      </c>
      <c r="V10" s="80" t="s">
        <v>11</v>
      </c>
      <c r="W10" s="80" t="s">
        <v>11</v>
      </c>
      <c r="X10" s="80" t="s">
        <v>11</v>
      </c>
      <c r="Y10" s="80" t="s">
        <v>11</v>
      </c>
      <c r="Z10" s="80" t="s">
        <v>11</v>
      </c>
      <c r="AA10" s="80" t="s">
        <v>12</v>
      </c>
      <c r="AB10" s="80" t="s">
        <v>12</v>
      </c>
      <c r="AC10" s="80" t="s">
        <v>12</v>
      </c>
      <c r="AD10" s="80" t="s">
        <v>11</v>
      </c>
      <c r="AE10" s="80" t="s">
        <v>11</v>
      </c>
      <c r="AF10" s="80" t="s">
        <v>11</v>
      </c>
      <c r="AG10" s="80" t="s">
        <v>11</v>
      </c>
      <c r="AH10" s="80" t="s">
        <v>12</v>
      </c>
      <c r="AI10" s="21">
        <f t="shared" si="0"/>
        <v>0.74193548387096775</v>
      </c>
    </row>
    <row r="11" spans="1:44" ht="15.75" customHeight="1" x14ac:dyDescent="0.25">
      <c r="A11" s="177" t="s">
        <v>15</v>
      </c>
      <c r="B11" s="178"/>
      <c r="C11" s="179"/>
      <c r="D11" s="16" t="s">
        <v>12</v>
      </c>
      <c r="E11" s="80" t="s">
        <v>11</v>
      </c>
      <c r="F11" s="80" t="s">
        <v>12</v>
      </c>
      <c r="G11" s="80" t="s">
        <v>12</v>
      </c>
      <c r="H11" s="80" t="s">
        <v>12</v>
      </c>
      <c r="I11" s="80" t="s">
        <v>12</v>
      </c>
      <c r="J11" s="80" t="s">
        <v>11</v>
      </c>
      <c r="K11" s="80" t="s">
        <v>11</v>
      </c>
      <c r="L11" s="80" t="s">
        <v>11</v>
      </c>
      <c r="M11" s="80" t="s">
        <v>11</v>
      </c>
      <c r="N11" s="80" t="s">
        <v>11</v>
      </c>
      <c r="O11" s="80" t="s">
        <v>11</v>
      </c>
      <c r="P11" s="80" t="s">
        <v>11</v>
      </c>
      <c r="Q11" s="80" t="s">
        <v>11</v>
      </c>
      <c r="R11" s="80" t="s">
        <v>11</v>
      </c>
      <c r="S11" s="80" t="s">
        <v>11</v>
      </c>
      <c r="T11" s="80" t="s">
        <v>11</v>
      </c>
      <c r="U11" s="80" t="s">
        <v>12</v>
      </c>
      <c r="V11" s="80" t="s">
        <v>11</v>
      </c>
      <c r="W11" s="80" t="s">
        <v>11</v>
      </c>
      <c r="X11" s="80" t="s">
        <v>11</v>
      </c>
      <c r="Y11" s="80" t="s">
        <v>11</v>
      </c>
      <c r="Z11" s="80" t="s">
        <v>11</v>
      </c>
      <c r="AA11" s="80" t="s">
        <v>12</v>
      </c>
      <c r="AB11" s="80" t="s">
        <v>12</v>
      </c>
      <c r="AC11" s="80" t="s">
        <v>12</v>
      </c>
      <c r="AD11" s="80" t="s">
        <v>11</v>
      </c>
      <c r="AE11" s="80" t="s">
        <v>11</v>
      </c>
      <c r="AF11" s="80" t="s">
        <v>11</v>
      </c>
      <c r="AG11" s="80" t="s">
        <v>11</v>
      </c>
      <c r="AH11" s="80" t="s">
        <v>12</v>
      </c>
      <c r="AI11" s="21">
        <f t="shared" si="0"/>
        <v>0.67741935483870963</v>
      </c>
    </row>
    <row r="12" spans="1:44" ht="15.75" customHeight="1" x14ac:dyDescent="0.25">
      <c r="A12" s="177" t="s">
        <v>16</v>
      </c>
      <c r="B12" s="178"/>
      <c r="C12" s="179"/>
      <c r="D12" s="16" t="s">
        <v>11</v>
      </c>
      <c r="E12" s="80" t="s">
        <v>11</v>
      </c>
      <c r="F12" s="80" t="s">
        <v>12</v>
      </c>
      <c r="G12" s="80" t="s">
        <v>12</v>
      </c>
      <c r="H12" s="80" t="s">
        <v>12</v>
      </c>
      <c r="I12" s="80" t="s">
        <v>12</v>
      </c>
      <c r="J12" s="80" t="s">
        <v>11</v>
      </c>
      <c r="K12" s="80" t="s">
        <v>11</v>
      </c>
      <c r="L12" s="80" t="s">
        <v>11</v>
      </c>
      <c r="M12" s="80" t="s">
        <v>11</v>
      </c>
      <c r="N12" s="80" t="s">
        <v>11</v>
      </c>
      <c r="O12" s="80" t="s">
        <v>11</v>
      </c>
      <c r="P12" s="80" t="s">
        <v>11</v>
      </c>
      <c r="Q12" s="80" t="s">
        <v>11</v>
      </c>
      <c r="R12" s="80" t="s">
        <v>11</v>
      </c>
      <c r="S12" s="80" t="s">
        <v>11</v>
      </c>
      <c r="T12" s="80" t="s">
        <v>11</v>
      </c>
      <c r="U12" s="80" t="s">
        <v>12</v>
      </c>
      <c r="V12" s="80" t="s">
        <v>11</v>
      </c>
      <c r="W12" s="80" t="s">
        <v>11</v>
      </c>
      <c r="X12" s="80" t="s">
        <v>11</v>
      </c>
      <c r="Y12" s="80" t="s">
        <v>11</v>
      </c>
      <c r="Z12" s="80" t="s">
        <v>11</v>
      </c>
      <c r="AA12" s="80" t="s">
        <v>12</v>
      </c>
      <c r="AB12" s="80" t="s">
        <v>12</v>
      </c>
      <c r="AC12" s="80" t="s">
        <v>12</v>
      </c>
      <c r="AD12" s="80" t="s">
        <v>11</v>
      </c>
      <c r="AE12" s="80" t="s">
        <v>11</v>
      </c>
      <c r="AF12" s="80" t="s">
        <v>11</v>
      </c>
      <c r="AG12" s="80" t="s">
        <v>11</v>
      </c>
      <c r="AH12" s="80" t="s">
        <v>12</v>
      </c>
      <c r="AI12" s="21">
        <f t="shared" si="0"/>
        <v>0.70967741935483875</v>
      </c>
    </row>
    <row r="13" spans="1:44" ht="15.75" customHeight="1" x14ac:dyDescent="0.25">
      <c r="A13" s="177" t="s">
        <v>17</v>
      </c>
      <c r="B13" s="178"/>
      <c r="C13" s="179"/>
      <c r="D13" s="16" t="s">
        <v>12</v>
      </c>
      <c r="E13" s="80" t="s">
        <v>12</v>
      </c>
      <c r="F13" s="80" t="s">
        <v>12</v>
      </c>
      <c r="G13" s="80" t="s">
        <v>12</v>
      </c>
      <c r="H13" s="80" t="s">
        <v>12</v>
      </c>
      <c r="I13" s="80" t="s">
        <v>12</v>
      </c>
      <c r="J13" s="80" t="s">
        <v>11</v>
      </c>
      <c r="K13" s="80" t="s">
        <v>11</v>
      </c>
      <c r="L13" s="80" t="s">
        <v>11</v>
      </c>
      <c r="M13" s="80" t="s">
        <v>11</v>
      </c>
      <c r="N13" s="80" t="s">
        <v>11</v>
      </c>
      <c r="O13" s="80" t="s">
        <v>11</v>
      </c>
      <c r="P13" s="80" t="s">
        <v>11</v>
      </c>
      <c r="Q13" s="80" t="s">
        <v>11</v>
      </c>
      <c r="R13" s="80" t="s">
        <v>11</v>
      </c>
      <c r="S13" s="80" t="s">
        <v>11</v>
      </c>
      <c r="T13" s="80" t="s">
        <v>11</v>
      </c>
      <c r="U13" s="80" t="s">
        <v>12</v>
      </c>
      <c r="V13" s="80" t="s">
        <v>11</v>
      </c>
      <c r="W13" s="80" t="s">
        <v>11</v>
      </c>
      <c r="X13" s="80" t="s">
        <v>11</v>
      </c>
      <c r="Y13" s="80" t="s">
        <v>11</v>
      </c>
      <c r="Z13" s="80" t="s">
        <v>11</v>
      </c>
      <c r="AA13" s="80" t="s">
        <v>12</v>
      </c>
      <c r="AB13" s="80" t="s">
        <v>12</v>
      </c>
      <c r="AC13" s="80" t="s">
        <v>12</v>
      </c>
      <c r="AD13" s="80" t="s">
        <v>11</v>
      </c>
      <c r="AE13" s="80" t="s">
        <v>11</v>
      </c>
      <c r="AF13" s="80" t="s">
        <v>11</v>
      </c>
      <c r="AG13" s="80" t="s">
        <v>11</v>
      </c>
      <c r="AH13" s="80" t="s">
        <v>12</v>
      </c>
      <c r="AI13" s="21">
        <f t="shared" si="0"/>
        <v>0.64516129032258063</v>
      </c>
    </row>
    <row r="14" spans="1:44" ht="15.75" customHeight="1" x14ac:dyDescent="0.25">
      <c r="A14" s="180" t="s">
        <v>18</v>
      </c>
      <c r="B14" s="181"/>
      <c r="C14" s="182"/>
      <c r="D14" s="16" t="s">
        <v>12</v>
      </c>
      <c r="E14" s="73" t="s">
        <v>12</v>
      </c>
      <c r="F14" s="73" t="s">
        <v>12</v>
      </c>
      <c r="G14" s="73" t="s">
        <v>12</v>
      </c>
      <c r="H14" s="73" t="s">
        <v>12</v>
      </c>
      <c r="I14" s="73" t="s">
        <v>12</v>
      </c>
      <c r="J14" s="73" t="s">
        <v>11</v>
      </c>
      <c r="K14" s="73" t="s">
        <v>11</v>
      </c>
      <c r="L14" s="73" t="s">
        <v>11</v>
      </c>
      <c r="M14" s="73" t="s">
        <v>11</v>
      </c>
      <c r="N14" s="73" t="s">
        <v>11</v>
      </c>
      <c r="O14" s="73" t="s">
        <v>11</v>
      </c>
      <c r="P14" s="73" t="s">
        <v>11</v>
      </c>
      <c r="Q14" s="73" t="s">
        <v>11</v>
      </c>
      <c r="R14" s="73" t="s">
        <v>11</v>
      </c>
      <c r="S14" s="73" t="s">
        <v>11</v>
      </c>
      <c r="T14" s="73" t="s">
        <v>11</v>
      </c>
      <c r="U14" s="73" t="s">
        <v>12</v>
      </c>
      <c r="V14" s="73" t="s">
        <v>11</v>
      </c>
      <c r="W14" s="73" t="s">
        <v>11</v>
      </c>
      <c r="X14" s="73" t="s">
        <v>11</v>
      </c>
      <c r="Y14" s="73" t="s">
        <v>11</v>
      </c>
      <c r="Z14" s="73" t="s">
        <v>11</v>
      </c>
      <c r="AA14" s="73" t="s">
        <v>12</v>
      </c>
      <c r="AB14" s="73" t="s">
        <v>12</v>
      </c>
      <c r="AC14" s="73" t="s">
        <v>12</v>
      </c>
      <c r="AD14" s="73" t="s">
        <v>11</v>
      </c>
      <c r="AE14" s="73" t="s">
        <v>11</v>
      </c>
      <c r="AF14" s="73" t="s">
        <v>11</v>
      </c>
      <c r="AG14" s="73" t="s">
        <v>11</v>
      </c>
      <c r="AH14" s="73" t="s">
        <v>12</v>
      </c>
      <c r="AI14" s="17">
        <f t="shared" si="0"/>
        <v>0.64516129032258063</v>
      </c>
    </row>
    <row r="15" spans="1:44" ht="15.75" customHeight="1" x14ac:dyDescent="0.25">
      <c r="A15" s="174" t="s">
        <v>19</v>
      </c>
      <c r="B15" s="175"/>
      <c r="C15" s="176"/>
      <c r="D15" s="20" t="s">
        <v>12</v>
      </c>
      <c r="E15" s="20" t="s">
        <v>12</v>
      </c>
      <c r="F15" s="20" t="s">
        <v>12</v>
      </c>
      <c r="G15" s="20" t="s">
        <v>12</v>
      </c>
      <c r="H15" s="20" t="s">
        <v>11</v>
      </c>
      <c r="I15" s="20" t="s">
        <v>11</v>
      </c>
      <c r="J15" s="20" t="s">
        <v>11</v>
      </c>
      <c r="K15" s="20" t="s">
        <v>11</v>
      </c>
      <c r="L15" s="20" t="s">
        <v>11</v>
      </c>
      <c r="M15" s="20" t="s">
        <v>11</v>
      </c>
      <c r="N15" s="20" t="s">
        <v>11</v>
      </c>
      <c r="O15" s="20" t="s">
        <v>11</v>
      </c>
      <c r="P15" s="20" t="s">
        <v>11</v>
      </c>
      <c r="Q15" s="20" t="s">
        <v>11</v>
      </c>
      <c r="R15" s="20" t="s">
        <v>11</v>
      </c>
      <c r="S15" s="20" t="s">
        <v>11</v>
      </c>
      <c r="T15" s="20" t="s">
        <v>11</v>
      </c>
      <c r="U15" s="20" t="s">
        <v>11</v>
      </c>
      <c r="V15" s="20" t="s">
        <v>11</v>
      </c>
      <c r="W15" s="20" t="s">
        <v>11</v>
      </c>
      <c r="X15" s="20" t="s">
        <v>11</v>
      </c>
      <c r="Y15" s="20" t="s">
        <v>11</v>
      </c>
      <c r="Z15" s="20" t="s">
        <v>11</v>
      </c>
      <c r="AA15" s="20" t="s">
        <v>11</v>
      </c>
      <c r="AB15" s="20" t="s">
        <v>11</v>
      </c>
      <c r="AC15" s="20" t="s">
        <v>11</v>
      </c>
      <c r="AD15" s="20" t="s">
        <v>11</v>
      </c>
      <c r="AE15" s="20" t="s">
        <v>11</v>
      </c>
      <c r="AF15" s="20" t="s">
        <v>11</v>
      </c>
      <c r="AG15" s="20" t="s">
        <v>11</v>
      </c>
      <c r="AH15" s="20" t="s">
        <v>11</v>
      </c>
      <c r="AI15" s="13">
        <f t="shared" si="0"/>
        <v>0.87096774193548387</v>
      </c>
    </row>
    <row r="16" spans="1:44" ht="15.75" customHeight="1" x14ac:dyDescent="0.25">
      <c r="A16" s="177" t="s">
        <v>20</v>
      </c>
      <c r="B16" s="178"/>
      <c r="C16" s="179"/>
      <c r="D16" s="16" t="s">
        <v>12</v>
      </c>
      <c r="E16" s="16" t="s">
        <v>12</v>
      </c>
      <c r="F16" s="16" t="s">
        <v>12</v>
      </c>
      <c r="G16" s="16" t="s">
        <v>12</v>
      </c>
      <c r="H16" s="16" t="s">
        <v>11</v>
      </c>
      <c r="I16" s="16" t="s">
        <v>11</v>
      </c>
      <c r="J16" s="16" t="s">
        <v>11</v>
      </c>
      <c r="K16" s="16" t="s">
        <v>11</v>
      </c>
      <c r="L16" s="16" t="s">
        <v>11</v>
      </c>
      <c r="M16" s="16" t="s">
        <v>11</v>
      </c>
      <c r="N16" s="16" t="s">
        <v>11</v>
      </c>
      <c r="O16" s="16" t="s">
        <v>11</v>
      </c>
      <c r="P16" s="16" t="s">
        <v>11</v>
      </c>
      <c r="Q16" s="16" t="s">
        <v>11</v>
      </c>
      <c r="R16" s="16" t="s">
        <v>11</v>
      </c>
      <c r="S16" s="16" t="s">
        <v>11</v>
      </c>
      <c r="T16" s="16" t="s">
        <v>11</v>
      </c>
      <c r="U16" s="16" t="s">
        <v>11</v>
      </c>
      <c r="V16" s="16" t="s">
        <v>11</v>
      </c>
      <c r="W16" s="16" t="s">
        <v>11</v>
      </c>
      <c r="X16" s="16" t="s">
        <v>11</v>
      </c>
      <c r="Y16" s="16" t="s">
        <v>11</v>
      </c>
      <c r="Z16" s="16" t="s">
        <v>11</v>
      </c>
      <c r="AA16" s="16" t="s">
        <v>11</v>
      </c>
      <c r="AB16" s="16" t="s">
        <v>11</v>
      </c>
      <c r="AC16" s="16" t="s">
        <v>11</v>
      </c>
      <c r="AD16" s="16" t="s">
        <v>11</v>
      </c>
      <c r="AE16" s="16" t="s">
        <v>11</v>
      </c>
      <c r="AF16" s="16" t="s">
        <v>11</v>
      </c>
      <c r="AG16" s="16" t="s">
        <v>11</v>
      </c>
      <c r="AH16" s="16" t="s">
        <v>11</v>
      </c>
      <c r="AI16" s="21">
        <f t="shared" si="0"/>
        <v>0.87096774193548387</v>
      </c>
    </row>
    <row r="17" spans="1:35" ht="15.75" customHeight="1" x14ac:dyDescent="0.25">
      <c r="A17" s="180" t="s">
        <v>92</v>
      </c>
      <c r="B17" s="181"/>
      <c r="C17" s="182"/>
      <c r="D17" s="16" t="s">
        <v>12</v>
      </c>
      <c r="E17" s="16" t="s">
        <v>12</v>
      </c>
      <c r="F17" s="16" t="s">
        <v>12</v>
      </c>
      <c r="G17" s="16" t="s">
        <v>12</v>
      </c>
      <c r="H17" s="16" t="s">
        <v>11</v>
      </c>
      <c r="I17" s="16" t="s">
        <v>11</v>
      </c>
      <c r="J17" s="16" t="s">
        <v>11</v>
      </c>
      <c r="K17" s="16" t="s">
        <v>11</v>
      </c>
      <c r="L17" s="16" t="s">
        <v>11</v>
      </c>
      <c r="M17" s="16" t="s">
        <v>11</v>
      </c>
      <c r="N17" s="16" t="s">
        <v>11</v>
      </c>
      <c r="O17" s="16" t="s">
        <v>11</v>
      </c>
      <c r="P17" s="16" t="s">
        <v>11</v>
      </c>
      <c r="Q17" s="16" t="s">
        <v>11</v>
      </c>
      <c r="R17" s="16" t="s">
        <v>11</v>
      </c>
      <c r="S17" s="16" t="s">
        <v>11</v>
      </c>
      <c r="T17" s="16" t="s">
        <v>11</v>
      </c>
      <c r="U17" s="16" t="s">
        <v>11</v>
      </c>
      <c r="V17" s="16" t="s">
        <v>11</v>
      </c>
      <c r="W17" s="16" t="s">
        <v>11</v>
      </c>
      <c r="X17" s="16" t="s">
        <v>11</v>
      </c>
      <c r="Y17" s="16" t="s">
        <v>11</v>
      </c>
      <c r="Z17" s="16" t="s">
        <v>11</v>
      </c>
      <c r="AA17" s="16" t="s">
        <v>11</v>
      </c>
      <c r="AB17" s="16" t="s">
        <v>11</v>
      </c>
      <c r="AC17" s="16" t="s">
        <v>11</v>
      </c>
      <c r="AD17" s="16" t="s">
        <v>11</v>
      </c>
      <c r="AE17" s="16" t="s">
        <v>11</v>
      </c>
      <c r="AF17" s="16" t="s">
        <v>11</v>
      </c>
      <c r="AG17" s="16" t="s">
        <v>11</v>
      </c>
      <c r="AH17" s="16" t="s">
        <v>11</v>
      </c>
      <c r="AI17" s="17">
        <f t="shared" si="0"/>
        <v>0.87096774193548387</v>
      </c>
    </row>
    <row r="18" spans="1:35" ht="15.75" customHeight="1" x14ac:dyDescent="0.25">
      <c r="A18" s="174" t="s">
        <v>21</v>
      </c>
      <c r="B18" s="175"/>
      <c r="C18" s="176"/>
      <c r="D18" s="22" t="s">
        <v>22</v>
      </c>
      <c r="E18" s="22" t="s">
        <v>22</v>
      </c>
      <c r="F18" s="22" t="s">
        <v>22</v>
      </c>
      <c r="G18" s="22" t="s">
        <v>22</v>
      </c>
      <c r="H18" s="22" t="s">
        <v>22</v>
      </c>
      <c r="I18" s="22" t="s">
        <v>11</v>
      </c>
      <c r="J18" s="22" t="s">
        <v>11</v>
      </c>
      <c r="K18" s="22" t="s">
        <v>11</v>
      </c>
      <c r="L18" s="22" t="s">
        <v>11</v>
      </c>
      <c r="M18" s="22" t="s">
        <v>11</v>
      </c>
      <c r="N18" s="22" t="s">
        <v>11</v>
      </c>
      <c r="O18" s="22" t="s">
        <v>11</v>
      </c>
      <c r="P18" s="22" t="s">
        <v>11</v>
      </c>
      <c r="Q18" s="22" t="s">
        <v>11</v>
      </c>
      <c r="R18" s="22" t="s">
        <v>11</v>
      </c>
      <c r="S18" s="22" t="s">
        <v>11</v>
      </c>
      <c r="T18" s="22" t="s">
        <v>11</v>
      </c>
      <c r="U18" s="22" t="s">
        <v>11</v>
      </c>
      <c r="V18" s="22" t="s">
        <v>11</v>
      </c>
      <c r="W18" s="22" t="s">
        <v>11</v>
      </c>
      <c r="X18" s="22" t="s">
        <v>11</v>
      </c>
      <c r="Y18" s="22" t="s">
        <v>11</v>
      </c>
      <c r="Z18" s="22" t="s">
        <v>11</v>
      </c>
      <c r="AA18" s="22" t="s">
        <v>11</v>
      </c>
      <c r="AB18" s="22" t="s">
        <v>11</v>
      </c>
      <c r="AC18" s="22" t="s">
        <v>11</v>
      </c>
      <c r="AD18" s="20" t="s">
        <v>11</v>
      </c>
      <c r="AE18" s="20" t="s">
        <v>11</v>
      </c>
      <c r="AF18" s="20" t="s">
        <v>11</v>
      </c>
      <c r="AG18" s="20" t="s">
        <v>11</v>
      </c>
      <c r="AH18" s="79" t="s">
        <v>11</v>
      </c>
      <c r="AI18" s="13">
        <f t="shared" si="0"/>
        <v>1</v>
      </c>
    </row>
    <row r="19" spans="1:35" ht="15.75" customHeight="1" x14ac:dyDescent="0.25">
      <c r="A19" s="177" t="s">
        <v>23</v>
      </c>
      <c r="B19" s="178"/>
      <c r="C19" s="179"/>
      <c r="D19" s="23" t="s">
        <v>22</v>
      </c>
      <c r="E19" s="23" t="s">
        <v>22</v>
      </c>
      <c r="F19" s="23" t="s">
        <v>22</v>
      </c>
      <c r="G19" s="23" t="s">
        <v>22</v>
      </c>
      <c r="H19" s="23" t="s">
        <v>22</v>
      </c>
      <c r="I19" s="23" t="s">
        <v>11</v>
      </c>
      <c r="J19" s="23" t="s">
        <v>11</v>
      </c>
      <c r="K19" s="23" t="s">
        <v>11</v>
      </c>
      <c r="L19" s="23" t="s">
        <v>11</v>
      </c>
      <c r="M19" s="23" t="s">
        <v>11</v>
      </c>
      <c r="N19" s="23" t="s">
        <v>11</v>
      </c>
      <c r="O19" s="23" t="s">
        <v>11</v>
      </c>
      <c r="P19" s="23" t="s">
        <v>11</v>
      </c>
      <c r="Q19" s="23" t="s">
        <v>11</v>
      </c>
      <c r="R19" s="23" t="s">
        <v>11</v>
      </c>
      <c r="S19" s="23" t="s">
        <v>11</v>
      </c>
      <c r="T19" s="23" t="s">
        <v>11</v>
      </c>
      <c r="U19" s="23" t="s">
        <v>11</v>
      </c>
      <c r="V19" s="23" t="s">
        <v>11</v>
      </c>
      <c r="W19" s="23" t="s">
        <v>11</v>
      </c>
      <c r="X19" s="23" t="s">
        <v>11</v>
      </c>
      <c r="Y19" s="23" t="s">
        <v>11</v>
      </c>
      <c r="Z19" s="23" t="s">
        <v>11</v>
      </c>
      <c r="AA19" s="23" t="s">
        <v>11</v>
      </c>
      <c r="AB19" s="23" t="s">
        <v>11</v>
      </c>
      <c r="AC19" s="23" t="s">
        <v>11</v>
      </c>
      <c r="AD19" s="16" t="s">
        <v>11</v>
      </c>
      <c r="AE19" s="16" t="s">
        <v>11</v>
      </c>
      <c r="AF19" s="16" t="s">
        <v>11</v>
      </c>
      <c r="AG19" s="16" t="s">
        <v>11</v>
      </c>
      <c r="AH19" s="16" t="s">
        <v>11</v>
      </c>
      <c r="AI19" s="21">
        <f t="shared" si="0"/>
        <v>1</v>
      </c>
    </row>
    <row r="20" spans="1:35" ht="15.75" customHeight="1" x14ac:dyDescent="0.25">
      <c r="A20" s="177" t="s">
        <v>24</v>
      </c>
      <c r="B20" s="178"/>
      <c r="C20" s="179"/>
      <c r="D20" s="23" t="s">
        <v>22</v>
      </c>
      <c r="E20" s="23" t="s">
        <v>22</v>
      </c>
      <c r="F20" s="23" t="s">
        <v>22</v>
      </c>
      <c r="G20" s="23" t="s">
        <v>22</v>
      </c>
      <c r="H20" s="23" t="s">
        <v>22</v>
      </c>
      <c r="I20" s="23" t="s">
        <v>11</v>
      </c>
      <c r="J20" s="23" t="s">
        <v>11</v>
      </c>
      <c r="K20" s="23" t="s">
        <v>11</v>
      </c>
      <c r="L20" s="23" t="s">
        <v>11</v>
      </c>
      <c r="M20" s="23" t="s">
        <v>11</v>
      </c>
      <c r="N20" s="23" t="s">
        <v>11</v>
      </c>
      <c r="O20" s="23" t="s">
        <v>11</v>
      </c>
      <c r="P20" s="23" t="s">
        <v>11</v>
      </c>
      <c r="Q20" s="23" t="s">
        <v>11</v>
      </c>
      <c r="R20" s="23" t="s">
        <v>11</v>
      </c>
      <c r="S20" s="23" t="s">
        <v>11</v>
      </c>
      <c r="T20" s="23" t="s">
        <v>11</v>
      </c>
      <c r="U20" s="23" t="s">
        <v>11</v>
      </c>
      <c r="V20" s="23" t="s">
        <v>11</v>
      </c>
      <c r="W20" s="23" t="s">
        <v>11</v>
      </c>
      <c r="X20" s="23" t="s">
        <v>11</v>
      </c>
      <c r="Y20" s="23" t="s">
        <v>11</v>
      </c>
      <c r="Z20" s="23" t="s">
        <v>11</v>
      </c>
      <c r="AA20" s="23" t="s">
        <v>11</v>
      </c>
      <c r="AB20" s="23" t="s">
        <v>11</v>
      </c>
      <c r="AC20" s="23" t="s">
        <v>11</v>
      </c>
      <c r="AD20" s="16" t="s">
        <v>11</v>
      </c>
      <c r="AE20" s="16" t="s">
        <v>11</v>
      </c>
      <c r="AF20" s="16" t="s">
        <v>11</v>
      </c>
      <c r="AG20" s="16" t="s">
        <v>11</v>
      </c>
      <c r="AH20" s="16" t="s">
        <v>11</v>
      </c>
      <c r="AI20" s="21">
        <f t="shared" si="0"/>
        <v>1</v>
      </c>
    </row>
    <row r="21" spans="1:35" ht="15.75" customHeight="1" x14ac:dyDescent="0.25">
      <c r="A21" s="180" t="s">
        <v>25</v>
      </c>
      <c r="B21" s="181"/>
      <c r="C21" s="182"/>
      <c r="D21" s="14" t="s">
        <v>22</v>
      </c>
      <c r="E21" s="14" t="s">
        <v>22</v>
      </c>
      <c r="F21" s="14" t="s">
        <v>22</v>
      </c>
      <c r="G21" s="14" t="s">
        <v>22</v>
      </c>
      <c r="H21" s="14" t="s">
        <v>22</v>
      </c>
      <c r="I21" s="14" t="s">
        <v>11</v>
      </c>
      <c r="J21" s="14" t="s">
        <v>11</v>
      </c>
      <c r="K21" s="14" t="s">
        <v>11</v>
      </c>
      <c r="L21" s="14" t="s">
        <v>11</v>
      </c>
      <c r="M21" s="14" t="s">
        <v>11</v>
      </c>
      <c r="N21" s="14" t="s">
        <v>11</v>
      </c>
      <c r="O21" s="14" t="s">
        <v>11</v>
      </c>
      <c r="P21" s="14" t="s">
        <v>11</v>
      </c>
      <c r="Q21" s="14" t="s">
        <v>11</v>
      </c>
      <c r="R21" s="14" t="s">
        <v>11</v>
      </c>
      <c r="S21" s="14" t="s">
        <v>11</v>
      </c>
      <c r="T21" s="14" t="s">
        <v>11</v>
      </c>
      <c r="U21" s="14" t="s">
        <v>11</v>
      </c>
      <c r="V21" s="14" t="s">
        <v>11</v>
      </c>
      <c r="W21" s="14" t="s">
        <v>11</v>
      </c>
      <c r="X21" s="14" t="s">
        <v>11</v>
      </c>
      <c r="Y21" s="14" t="s">
        <v>11</v>
      </c>
      <c r="Z21" s="14" t="s">
        <v>11</v>
      </c>
      <c r="AA21" s="14" t="s">
        <v>11</v>
      </c>
      <c r="AB21" s="14" t="s">
        <v>11</v>
      </c>
      <c r="AC21" s="14" t="s">
        <v>11</v>
      </c>
      <c r="AD21" s="15" t="s">
        <v>11</v>
      </c>
      <c r="AE21" s="15" t="s">
        <v>11</v>
      </c>
      <c r="AF21" s="15" t="s">
        <v>11</v>
      </c>
      <c r="AG21" s="15" t="s">
        <v>11</v>
      </c>
      <c r="AH21" s="73" t="s">
        <v>11</v>
      </c>
      <c r="AI21" s="17">
        <f t="shared" si="0"/>
        <v>1</v>
      </c>
    </row>
    <row r="22" spans="1:35" ht="15.75" customHeight="1" x14ac:dyDescent="0.25">
      <c r="A22" s="162" t="s">
        <v>26</v>
      </c>
      <c r="B22" s="163"/>
      <c r="C22" s="164"/>
      <c r="D22" s="24" t="s">
        <v>12</v>
      </c>
      <c r="E22" s="24" t="s">
        <v>12</v>
      </c>
      <c r="F22" s="24" t="s">
        <v>12</v>
      </c>
      <c r="G22" s="24" t="s">
        <v>12</v>
      </c>
      <c r="H22" s="24" t="s">
        <v>12</v>
      </c>
      <c r="I22" s="24" t="s">
        <v>12</v>
      </c>
      <c r="J22" s="24" t="s">
        <v>11</v>
      </c>
      <c r="K22" s="24" t="s">
        <v>11</v>
      </c>
      <c r="L22" s="24" t="s">
        <v>11</v>
      </c>
      <c r="M22" s="24" t="s">
        <v>11</v>
      </c>
      <c r="N22" s="24" t="s">
        <v>11</v>
      </c>
      <c r="O22" s="24" t="s">
        <v>12</v>
      </c>
      <c r="P22" s="81" t="s">
        <v>11</v>
      </c>
      <c r="Q22" s="81" t="s">
        <v>11</v>
      </c>
      <c r="R22" s="81" t="s">
        <v>11</v>
      </c>
      <c r="S22" s="81" t="s">
        <v>11</v>
      </c>
      <c r="T22" s="81" t="s">
        <v>11</v>
      </c>
      <c r="U22" s="24" t="s">
        <v>11</v>
      </c>
      <c r="V22" s="24" t="s">
        <v>11</v>
      </c>
      <c r="W22" s="24" t="s">
        <v>12</v>
      </c>
      <c r="X22" s="24" t="s">
        <v>12</v>
      </c>
      <c r="Y22" s="24" t="s">
        <v>12</v>
      </c>
      <c r="Z22" s="24" t="s">
        <v>11</v>
      </c>
      <c r="AA22" s="24" t="s">
        <v>11</v>
      </c>
      <c r="AB22" s="24" t="s">
        <v>11</v>
      </c>
      <c r="AC22" s="24" t="s">
        <v>11</v>
      </c>
      <c r="AD22" s="81" t="s">
        <v>11</v>
      </c>
      <c r="AE22" s="81" t="s">
        <v>11</v>
      </c>
      <c r="AF22" s="81" t="s">
        <v>11</v>
      </c>
      <c r="AG22" s="81" t="s">
        <v>11</v>
      </c>
      <c r="AH22" s="81" t="s">
        <v>12</v>
      </c>
      <c r="AI22" s="19">
        <f t="shared" si="0"/>
        <v>0.64516129032258063</v>
      </c>
    </row>
    <row r="23" spans="1:35" ht="15.75" customHeight="1" x14ac:dyDescent="0.25">
      <c r="A23" s="174" t="s">
        <v>27</v>
      </c>
      <c r="B23" s="175"/>
      <c r="C23" s="176"/>
      <c r="D23" s="22" t="s">
        <v>12</v>
      </c>
      <c r="E23" s="22" t="s">
        <v>11</v>
      </c>
      <c r="F23" s="22" t="s">
        <v>11</v>
      </c>
      <c r="G23" s="22" t="s">
        <v>11</v>
      </c>
      <c r="H23" s="22" t="s">
        <v>11</v>
      </c>
      <c r="I23" s="22" t="s">
        <v>11</v>
      </c>
      <c r="J23" s="22" t="s">
        <v>11</v>
      </c>
      <c r="K23" s="22" t="s">
        <v>11</v>
      </c>
      <c r="L23" s="22" t="s">
        <v>11</v>
      </c>
      <c r="M23" s="22" t="s">
        <v>11</v>
      </c>
      <c r="N23" s="22" t="s">
        <v>11</v>
      </c>
      <c r="O23" s="22" t="s">
        <v>11</v>
      </c>
      <c r="P23" s="22" t="s">
        <v>11</v>
      </c>
      <c r="Q23" s="22" t="s">
        <v>11</v>
      </c>
      <c r="R23" s="22" t="s">
        <v>11</v>
      </c>
      <c r="S23" s="22" t="s">
        <v>11</v>
      </c>
      <c r="T23" s="22" t="s">
        <v>11</v>
      </c>
      <c r="U23" s="20" t="s">
        <v>11</v>
      </c>
      <c r="V23" s="20" t="s">
        <v>11</v>
      </c>
      <c r="W23" s="20" t="s">
        <v>11</v>
      </c>
      <c r="X23" s="20" t="s">
        <v>11</v>
      </c>
      <c r="Y23" s="20" t="s">
        <v>11</v>
      </c>
      <c r="Z23" s="20" t="s">
        <v>11</v>
      </c>
      <c r="AA23" s="22" t="s">
        <v>11</v>
      </c>
      <c r="AB23" s="22" t="s">
        <v>11</v>
      </c>
      <c r="AC23" s="22" t="s">
        <v>11</v>
      </c>
      <c r="AD23" s="22" t="s">
        <v>11</v>
      </c>
      <c r="AE23" s="22" t="s">
        <v>11</v>
      </c>
      <c r="AF23" s="22" t="s">
        <v>11</v>
      </c>
      <c r="AG23" s="22" t="s">
        <v>11</v>
      </c>
      <c r="AH23" s="20" t="s">
        <v>11</v>
      </c>
      <c r="AI23" s="13">
        <f t="shared" si="0"/>
        <v>0.967741935483871</v>
      </c>
    </row>
    <row r="24" spans="1:35" ht="15.75" customHeight="1" x14ac:dyDescent="0.25">
      <c r="A24" s="180" t="s">
        <v>28</v>
      </c>
      <c r="B24" s="181"/>
      <c r="C24" s="182"/>
      <c r="D24" s="14" t="s">
        <v>12</v>
      </c>
      <c r="E24" s="14" t="s">
        <v>12</v>
      </c>
      <c r="F24" s="14" t="s">
        <v>11</v>
      </c>
      <c r="G24" s="14" t="s">
        <v>11</v>
      </c>
      <c r="H24" s="14" t="s">
        <v>11</v>
      </c>
      <c r="I24" s="14" t="s">
        <v>11</v>
      </c>
      <c r="J24" s="14" t="s">
        <v>11</v>
      </c>
      <c r="K24" s="14" t="s">
        <v>11</v>
      </c>
      <c r="L24" s="14" t="s">
        <v>11</v>
      </c>
      <c r="M24" s="14" t="s">
        <v>11</v>
      </c>
      <c r="N24" s="14" t="s">
        <v>12</v>
      </c>
      <c r="O24" s="14" t="s">
        <v>11</v>
      </c>
      <c r="P24" s="14" t="s">
        <v>11</v>
      </c>
      <c r="Q24" s="14" t="s">
        <v>11</v>
      </c>
      <c r="R24" s="14" t="s">
        <v>11</v>
      </c>
      <c r="S24" s="14" t="s">
        <v>11</v>
      </c>
      <c r="T24" s="14" t="s">
        <v>12</v>
      </c>
      <c r="U24" s="15" t="s">
        <v>12</v>
      </c>
      <c r="V24" s="15" t="s">
        <v>12</v>
      </c>
      <c r="W24" s="15" t="s">
        <v>12</v>
      </c>
      <c r="X24" s="15" t="s">
        <v>12</v>
      </c>
      <c r="Y24" s="15" t="s">
        <v>11</v>
      </c>
      <c r="Z24" s="15" t="s">
        <v>11</v>
      </c>
      <c r="AA24" s="14" t="s">
        <v>11</v>
      </c>
      <c r="AB24" s="14" t="s">
        <v>11</v>
      </c>
      <c r="AC24" s="14" t="s">
        <v>11</v>
      </c>
      <c r="AD24" s="14" t="s">
        <v>11</v>
      </c>
      <c r="AE24" s="14" t="s">
        <v>11</v>
      </c>
      <c r="AF24" s="14" t="s">
        <v>11</v>
      </c>
      <c r="AG24" s="14" t="s">
        <v>11</v>
      </c>
      <c r="AH24" s="15" t="s">
        <v>11</v>
      </c>
      <c r="AI24" s="17">
        <f t="shared" si="0"/>
        <v>0.74193548387096775</v>
      </c>
    </row>
    <row r="25" spans="1:35" ht="15.75" customHeight="1" x14ac:dyDescent="0.25">
      <c r="A25" s="162" t="s">
        <v>29</v>
      </c>
      <c r="B25" s="163"/>
      <c r="C25" s="164"/>
      <c r="D25" s="26" t="s">
        <v>22</v>
      </c>
      <c r="E25" s="26" t="s">
        <v>22</v>
      </c>
      <c r="F25" s="26" t="s">
        <v>22</v>
      </c>
      <c r="G25" s="26" t="s">
        <v>22</v>
      </c>
      <c r="H25" s="26" t="s">
        <v>22</v>
      </c>
      <c r="I25" s="26" t="s">
        <v>11</v>
      </c>
      <c r="J25" s="26" t="s">
        <v>11</v>
      </c>
      <c r="K25" s="26" t="s">
        <v>11</v>
      </c>
      <c r="L25" s="26" t="s">
        <v>11</v>
      </c>
      <c r="M25" s="26" t="s">
        <v>11</v>
      </c>
      <c r="N25" s="26" t="s">
        <v>11</v>
      </c>
      <c r="O25" s="26" t="s">
        <v>11</v>
      </c>
      <c r="P25" s="26" t="s">
        <v>11</v>
      </c>
      <c r="Q25" s="26" t="s">
        <v>11</v>
      </c>
      <c r="R25" s="26" t="s">
        <v>11</v>
      </c>
      <c r="S25" s="26" t="s">
        <v>11</v>
      </c>
      <c r="T25" s="26" t="s">
        <v>11</v>
      </c>
      <c r="U25" s="26" t="s">
        <v>11</v>
      </c>
      <c r="V25" s="26" t="s">
        <v>11</v>
      </c>
      <c r="W25" s="26" t="s">
        <v>11</v>
      </c>
      <c r="X25" s="26" t="s">
        <v>11</v>
      </c>
      <c r="Y25" s="26" t="s">
        <v>11</v>
      </c>
      <c r="Z25" s="26" t="s">
        <v>11</v>
      </c>
      <c r="AA25" s="26" t="s">
        <v>11</v>
      </c>
      <c r="AB25" s="26" t="s">
        <v>11</v>
      </c>
      <c r="AC25" s="26" t="s">
        <v>11</v>
      </c>
      <c r="AD25" s="81" t="s">
        <v>11</v>
      </c>
      <c r="AE25" s="81" t="s">
        <v>11</v>
      </c>
      <c r="AF25" s="81" t="s">
        <v>11</v>
      </c>
      <c r="AG25" s="81" t="s">
        <v>11</v>
      </c>
      <c r="AH25" s="25" t="s">
        <v>11</v>
      </c>
      <c r="AI25" s="19">
        <f t="shared" si="0"/>
        <v>1</v>
      </c>
    </row>
    <row r="26" spans="1:35" ht="15.75" customHeight="1" x14ac:dyDescent="0.25">
      <c r="A26" s="162" t="s">
        <v>30</v>
      </c>
      <c r="B26" s="163"/>
      <c r="C26" s="164"/>
      <c r="D26" s="81" t="s">
        <v>22</v>
      </c>
      <c r="E26" s="81" t="s">
        <v>22</v>
      </c>
      <c r="F26" s="81" t="s">
        <v>22</v>
      </c>
      <c r="G26" s="81" t="s">
        <v>22</v>
      </c>
      <c r="H26" s="81" t="s">
        <v>22</v>
      </c>
      <c r="I26" s="81" t="s">
        <v>11</v>
      </c>
      <c r="J26" s="81" t="s">
        <v>11</v>
      </c>
      <c r="K26" s="81" t="s">
        <v>11</v>
      </c>
      <c r="L26" s="81" t="s">
        <v>11</v>
      </c>
      <c r="M26" s="81" t="s">
        <v>11</v>
      </c>
      <c r="N26" s="81" t="s">
        <v>11</v>
      </c>
      <c r="O26" s="81" t="s">
        <v>11</v>
      </c>
      <c r="P26" s="81" t="s">
        <v>11</v>
      </c>
      <c r="Q26" s="81" t="s">
        <v>11</v>
      </c>
      <c r="R26" s="81" t="s">
        <v>11</v>
      </c>
      <c r="S26" s="81" t="s">
        <v>11</v>
      </c>
      <c r="T26" s="81" t="s">
        <v>11</v>
      </c>
      <c r="U26" s="81" t="s">
        <v>11</v>
      </c>
      <c r="V26" s="81" t="s">
        <v>11</v>
      </c>
      <c r="W26" s="81" t="s">
        <v>11</v>
      </c>
      <c r="X26" s="81" t="s">
        <v>11</v>
      </c>
      <c r="Y26" s="81" t="s">
        <v>11</v>
      </c>
      <c r="Z26" s="81" t="s">
        <v>11</v>
      </c>
      <c r="AA26" s="81" t="s">
        <v>11</v>
      </c>
      <c r="AB26" s="81" t="s">
        <v>11</v>
      </c>
      <c r="AC26" s="81" t="s">
        <v>11</v>
      </c>
      <c r="AD26" s="81" t="s">
        <v>11</v>
      </c>
      <c r="AE26" s="81" t="s">
        <v>11</v>
      </c>
      <c r="AF26" s="81" t="s">
        <v>11</v>
      </c>
      <c r="AG26" s="81" t="s">
        <v>11</v>
      </c>
      <c r="AH26" s="25" t="s">
        <v>11</v>
      </c>
      <c r="AI26" s="19">
        <f t="shared" si="0"/>
        <v>1</v>
      </c>
    </row>
    <row r="27" spans="1:35" ht="15.75" customHeight="1" x14ac:dyDescent="0.25">
      <c r="A27" s="156" t="s">
        <v>31</v>
      </c>
      <c r="B27" s="157"/>
      <c r="C27" s="158"/>
      <c r="D27" s="27" t="s">
        <v>22</v>
      </c>
      <c r="E27" s="27" t="s">
        <v>22</v>
      </c>
      <c r="F27" s="27" t="s">
        <v>22</v>
      </c>
      <c r="G27" s="27" t="s">
        <v>22</v>
      </c>
      <c r="H27" s="27" t="s">
        <v>22</v>
      </c>
      <c r="I27" s="27" t="s">
        <v>9</v>
      </c>
      <c r="J27" s="27" t="s">
        <v>8</v>
      </c>
      <c r="K27" s="27" t="s">
        <v>8</v>
      </c>
      <c r="L27" s="27" t="s">
        <v>8</v>
      </c>
      <c r="M27" s="27" t="s">
        <v>8</v>
      </c>
      <c r="N27" s="27" t="s">
        <v>8</v>
      </c>
      <c r="O27" s="27" t="s">
        <v>8</v>
      </c>
      <c r="P27" s="27" t="s">
        <v>8</v>
      </c>
      <c r="Q27" s="27" t="s">
        <v>8</v>
      </c>
      <c r="R27" s="27" t="s">
        <v>8</v>
      </c>
      <c r="S27" s="27" t="s">
        <v>8</v>
      </c>
      <c r="T27" s="27" t="s">
        <v>8</v>
      </c>
      <c r="U27" s="27" t="s">
        <v>9</v>
      </c>
      <c r="V27" s="27" t="s">
        <v>9</v>
      </c>
      <c r="W27" s="27" t="s">
        <v>9</v>
      </c>
      <c r="X27" s="27" t="s">
        <v>9</v>
      </c>
      <c r="Y27" s="27" t="s">
        <v>9</v>
      </c>
      <c r="Z27" s="27" t="s">
        <v>9</v>
      </c>
      <c r="AA27" s="27" t="s">
        <v>8</v>
      </c>
      <c r="AB27" s="27" t="s">
        <v>8</v>
      </c>
      <c r="AC27" s="27" t="s">
        <v>8</v>
      </c>
      <c r="AD27" s="72" t="s">
        <v>8</v>
      </c>
      <c r="AE27" s="72" t="s">
        <v>9</v>
      </c>
      <c r="AF27" s="72" t="s">
        <v>9</v>
      </c>
      <c r="AG27" s="72" t="s">
        <v>9</v>
      </c>
      <c r="AH27" s="72" t="s">
        <v>8</v>
      </c>
      <c r="AI27" s="13">
        <f t="shared" si="0"/>
        <v>1</v>
      </c>
    </row>
    <row r="28" spans="1:35" ht="15.75" customHeight="1" x14ac:dyDescent="0.25">
      <c r="A28" s="183" t="s">
        <v>32</v>
      </c>
      <c r="B28" s="184"/>
      <c r="C28" s="185"/>
      <c r="D28" s="28" t="s">
        <v>114</v>
      </c>
      <c r="E28" s="28" t="s">
        <v>114</v>
      </c>
      <c r="F28" s="28" t="s">
        <v>114</v>
      </c>
      <c r="G28" s="28" t="s">
        <v>114</v>
      </c>
      <c r="H28" s="28" t="s">
        <v>114</v>
      </c>
      <c r="I28" s="28">
        <v>2</v>
      </c>
      <c r="J28" s="28">
        <v>2</v>
      </c>
      <c r="K28" s="28">
        <v>2</v>
      </c>
      <c r="L28" s="28" t="s">
        <v>114</v>
      </c>
      <c r="M28" s="28">
        <v>2</v>
      </c>
      <c r="N28" s="28">
        <v>2</v>
      </c>
      <c r="O28" s="28">
        <v>2</v>
      </c>
      <c r="P28" s="28" t="s">
        <v>113</v>
      </c>
      <c r="Q28" s="28" t="s">
        <v>113</v>
      </c>
      <c r="R28" s="28" t="s">
        <v>113</v>
      </c>
      <c r="S28" s="28" t="s">
        <v>113</v>
      </c>
      <c r="T28" s="28" t="s">
        <v>113</v>
      </c>
      <c r="U28" s="28" t="s">
        <v>113</v>
      </c>
      <c r="V28" s="28" t="s">
        <v>113</v>
      </c>
      <c r="W28" s="28">
        <v>2</v>
      </c>
      <c r="X28" s="28">
        <v>2</v>
      </c>
      <c r="Y28" s="28" t="s">
        <v>123</v>
      </c>
      <c r="Z28" s="28" t="s">
        <v>123</v>
      </c>
      <c r="AA28" s="28" t="s">
        <v>113</v>
      </c>
      <c r="AB28" s="28" t="s">
        <v>113</v>
      </c>
      <c r="AC28" s="28" t="s">
        <v>113</v>
      </c>
      <c r="AD28" s="28" t="s">
        <v>113</v>
      </c>
      <c r="AE28" s="28" t="s">
        <v>113</v>
      </c>
      <c r="AF28" s="28" t="s">
        <v>123</v>
      </c>
      <c r="AG28" s="28" t="s">
        <v>123</v>
      </c>
      <c r="AH28" s="82" t="s">
        <v>113</v>
      </c>
      <c r="AI28" s="17">
        <f>IF(COUNTA(D28:AH28)&gt;0,(COUNTA(D28:AH28)-COUNTIF(D28:AH28,"NB")-COUNTIF(D28:AH28,"DN")-COUNTIF(D28:AH28,"An")-COUNTIF(D28:AH28,"NB^")-COUNTIF(D28:AH28,0))/COUNTA(D28:AH28),"")</f>
        <v>1</v>
      </c>
    </row>
    <row r="29" spans="1:35" ht="15.75" customHeight="1" x14ac:dyDescent="0.25">
      <c r="A29" s="171" t="s">
        <v>97</v>
      </c>
      <c r="B29" s="172"/>
      <c r="C29" s="173"/>
      <c r="D29" s="83">
        <v>0</v>
      </c>
      <c r="E29" s="83">
        <v>0</v>
      </c>
      <c r="F29" s="83">
        <v>0</v>
      </c>
      <c r="G29" s="83">
        <v>0</v>
      </c>
      <c r="H29" s="83">
        <v>0</v>
      </c>
      <c r="I29" s="83">
        <v>0</v>
      </c>
      <c r="J29" s="83">
        <v>0</v>
      </c>
      <c r="K29" s="83">
        <v>0</v>
      </c>
      <c r="L29" s="83">
        <v>0</v>
      </c>
      <c r="M29" s="83">
        <v>0</v>
      </c>
      <c r="N29" s="83">
        <v>1.2</v>
      </c>
      <c r="O29" s="83">
        <v>1.6</v>
      </c>
      <c r="P29" s="83">
        <v>3.9</v>
      </c>
      <c r="Q29" s="83" t="s">
        <v>184</v>
      </c>
      <c r="R29" s="83" t="s">
        <v>183</v>
      </c>
      <c r="S29" s="83">
        <v>36.4</v>
      </c>
      <c r="T29" s="83">
        <v>14</v>
      </c>
      <c r="U29" s="83">
        <v>5.6</v>
      </c>
      <c r="V29" s="83">
        <v>0</v>
      </c>
      <c r="W29" s="83">
        <v>0</v>
      </c>
      <c r="X29" s="83">
        <v>0</v>
      </c>
      <c r="Y29" s="83">
        <v>0</v>
      </c>
      <c r="Z29" s="83">
        <v>0.9</v>
      </c>
      <c r="AA29" s="91" t="s">
        <v>189</v>
      </c>
      <c r="AB29" s="91" t="s">
        <v>145</v>
      </c>
      <c r="AC29" s="91" t="s">
        <v>188</v>
      </c>
      <c r="AD29" s="29" t="s">
        <v>187</v>
      </c>
      <c r="AE29" s="29" t="s">
        <v>186</v>
      </c>
      <c r="AF29" s="29" t="s">
        <v>185</v>
      </c>
      <c r="AG29" s="29" t="s">
        <v>190</v>
      </c>
      <c r="AH29" s="29" t="s">
        <v>151</v>
      </c>
      <c r="AI29" s="19">
        <f>IF(COUNTA(D29:AH29)&gt;0,(COUNTA(D29:AH29)-COUNTIF(D29:AH29,"NB")-COUNTIF(D29:AH29,"DN")-COUNTIF(D29:AH29,"An")-COUNTIF(D29:AH29,"NB^")-COUNTIF(D29:AH29,0))/COUNTA(D29:AH29),"")</f>
        <v>0.54838709677419351</v>
      </c>
    </row>
    <row r="30" spans="1:35" ht="15.75" customHeight="1" x14ac:dyDescent="0.25">
      <c r="A30" s="153" t="s">
        <v>33</v>
      </c>
      <c r="B30" s="154"/>
      <c r="C30" s="155"/>
      <c r="D30" s="84" t="s">
        <v>22</v>
      </c>
      <c r="E30" s="84" t="s">
        <v>9</v>
      </c>
      <c r="F30" s="84" t="s">
        <v>9</v>
      </c>
      <c r="G30" s="84" t="s">
        <v>9</v>
      </c>
      <c r="H30" s="84" t="s">
        <v>9</v>
      </c>
      <c r="I30" s="84" t="s">
        <v>9</v>
      </c>
      <c r="J30" s="84" t="s">
        <v>8</v>
      </c>
      <c r="K30" s="84" t="s">
        <v>8</v>
      </c>
      <c r="L30" s="84" t="s">
        <v>8</v>
      </c>
      <c r="M30" s="84" t="s">
        <v>8</v>
      </c>
      <c r="N30" s="84" t="s">
        <v>8</v>
      </c>
      <c r="O30" s="84" t="s">
        <v>8</v>
      </c>
      <c r="P30" s="84" t="s">
        <v>8</v>
      </c>
      <c r="Q30" s="84" t="s">
        <v>8</v>
      </c>
      <c r="R30" s="84" t="s">
        <v>8</v>
      </c>
      <c r="S30" s="84" t="s">
        <v>8</v>
      </c>
      <c r="T30" s="84" t="s">
        <v>8</v>
      </c>
      <c r="U30" s="84" t="s">
        <v>8</v>
      </c>
      <c r="V30" s="84" t="s">
        <v>9</v>
      </c>
      <c r="W30" s="84" t="s">
        <v>9</v>
      </c>
      <c r="X30" s="84" t="s">
        <v>9</v>
      </c>
      <c r="Y30" s="84" t="s">
        <v>9</v>
      </c>
      <c r="Z30" s="84" t="s">
        <v>9</v>
      </c>
      <c r="AA30" s="84" t="s">
        <v>8</v>
      </c>
      <c r="AB30" s="84" t="s">
        <v>8</v>
      </c>
      <c r="AC30" s="84" t="s">
        <v>8</v>
      </c>
      <c r="AD30" s="84" t="s">
        <v>8</v>
      </c>
      <c r="AE30" s="84" t="s">
        <v>9</v>
      </c>
      <c r="AF30" s="84" t="s">
        <v>9</v>
      </c>
      <c r="AG30" s="84" t="s">
        <v>9</v>
      </c>
      <c r="AH30" s="84" t="s">
        <v>8</v>
      </c>
      <c r="AI30" s="19">
        <f>IF(COUNTA(D30:AH30)&gt;0,(COUNTA(D30:AH30)-COUNTIF(D30:AH30,"NB")-COUNTIF(D30:AH30,"DN")-COUNTIF(D30:AH30,"An")-COUNTIF(D30:AH30,"NB^")-COUNTIF(D30:AH30,0))/COUNTA(D30:AH30),"")</f>
        <v>1</v>
      </c>
    </row>
    <row r="31" spans="1:35" ht="15.75" customHeight="1" x14ac:dyDescent="0.25">
      <c r="A31" s="156" t="s">
        <v>34</v>
      </c>
      <c r="B31" s="157"/>
      <c r="C31" s="158"/>
      <c r="D31" s="72" t="s">
        <v>22</v>
      </c>
      <c r="E31" s="72" t="s">
        <v>9</v>
      </c>
      <c r="F31" s="72" t="s">
        <v>9</v>
      </c>
      <c r="G31" s="72" t="s">
        <v>9</v>
      </c>
      <c r="H31" s="72" t="s">
        <v>9</v>
      </c>
      <c r="I31" s="72" t="s">
        <v>9</v>
      </c>
      <c r="J31" s="72" t="s">
        <v>8</v>
      </c>
      <c r="K31" s="72" t="s">
        <v>8</v>
      </c>
      <c r="L31" s="72" t="s">
        <v>8</v>
      </c>
      <c r="M31" s="72" t="s">
        <v>8</v>
      </c>
      <c r="N31" s="72" t="s">
        <v>8</v>
      </c>
      <c r="O31" s="72" t="s">
        <v>8</v>
      </c>
      <c r="P31" s="72" t="s">
        <v>8</v>
      </c>
      <c r="Q31" s="72" t="s">
        <v>8</v>
      </c>
      <c r="R31" s="72" t="s">
        <v>8</v>
      </c>
      <c r="S31" s="72" t="s">
        <v>8</v>
      </c>
      <c r="T31" s="72" t="s">
        <v>8</v>
      </c>
      <c r="U31" s="72" t="s">
        <v>9</v>
      </c>
      <c r="V31" s="72" t="s">
        <v>9</v>
      </c>
      <c r="W31" s="72" t="s">
        <v>9</v>
      </c>
      <c r="X31" s="72" t="s">
        <v>9</v>
      </c>
      <c r="Y31" s="72" t="s">
        <v>9</v>
      </c>
      <c r="Z31" s="72" t="s">
        <v>9</v>
      </c>
      <c r="AA31" s="72" t="s">
        <v>8</v>
      </c>
      <c r="AB31" s="72" t="s">
        <v>8</v>
      </c>
      <c r="AC31" s="72" t="s">
        <v>8</v>
      </c>
      <c r="AD31" s="72" t="s">
        <v>8</v>
      </c>
      <c r="AE31" s="72" t="s">
        <v>9</v>
      </c>
      <c r="AF31" s="72" t="s">
        <v>9</v>
      </c>
      <c r="AG31" s="72" t="s">
        <v>9</v>
      </c>
      <c r="AH31" s="72" t="s">
        <v>8</v>
      </c>
      <c r="AI31" s="13">
        <f>IF(COUNTA(D31:AH31)&gt;0,(COUNTA(D31:AH31)-COUNTIF(D31:AH31,"NB")-COUNTIF(D31:AH31,"DN")-COUNTIF(D31:AH31,"An")-COUNTIF(D31:AH31,"NB^")-COUNTIF(D31:AH31,0))/COUNTA(D31:AH31),"")</f>
        <v>1</v>
      </c>
    </row>
    <row r="32" spans="1:35" ht="15.75" customHeight="1" x14ac:dyDescent="0.25">
      <c r="A32" s="159" t="s">
        <v>35</v>
      </c>
      <c r="B32" s="160"/>
      <c r="C32" s="161"/>
      <c r="D32" s="85" t="s">
        <v>22</v>
      </c>
      <c r="E32" s="85" t="s">
        <v>22</v>
      </c>
      <c r="F32" s="85" t="s">
        <v>22</v>
      </c>
      <c r="G32" s="85" t="s">
        <v>22</v>
      </c>
      <c r="H32" s="85" t="s">
        <v>22</v>
      </c>
      <c r="I32" s="85" t="s">
        <v>9</v>
      </c>
      <c r="J32" s="85" t="s">
        <v>8</v>
      </c>
      <c r="K32" s="85" t="s">
        <v>8</v>
      </c>
      <c r="L32" s="85" t="s">
        <v>8</v>
      </c>
      <c r="M32" s="85" t="s">
        <v>8</v>
      </c>
      <c r="N32" s="85" t="s">
        <v>8</v>
      </c>
      <c r="O32" s="85" t="s">
        <v>8</v>
      </c>
      <c r="P32" s="85" t="s">
        <v>8</v>
      </c>
      <c r="Q32" s="85" t="s">
        <v>8</v>
      </c>
      <c r="R32" s="85" t="s">
        <v>8</v>
      </c>
      <c r="S32" s="85" t="s">
        <v>8</v>
      </c>
      <c r="T32" s="85" t="s">
        <v>8</v>
      </c>
      <c r="U32" s="85" t="s">
        <v>9</v>
      </c>
      <c r="V32" s="85" t="s">
        <v>9</v>
      </c>
      <c r="W32" s="85" t="s">
        <v>9</v>
      </c>
      <c r="X32" s="85" t="s">
        <v>9</v>
      </c>
      <c r="Y32" s="85" t="s">
        <v>9</v>
      </c>
      <c r="Z32" s="85" t="s">
        <v>9</v>
      </c>
      <c r="AA32" s="85" t="s">
        <v>8</v>
      </c>
      <c r="AB32" s="85" t="s">
        <v>8</v>
      </c>
      <c r="AC32" s="85" t="s">
        <v>8</v>
      </c>
      <c r="AD32" s="85" t="s">
        <v>8</v>
      </c>
      <c r="AE32" s="85" t="s">
        <v>9</v>
      </c>
      <c r="AF32" s="85" t="s">
        <v>9</v>
      </c>
      <c r="AG32" s="85" t="s">
        <v>9</v>
      </c>
      <c r="AH32" s="85" t="s">
        <v>8</v>
      </c>
      <c r="AI32" s="17">
        <f t="shared" si="0"/>
        <v>1</v>
      </c>
    </row>
    <row r="33" spans="1:44" ht="15.75" customHeight="1" x14ac:dyDescent="0.25">
      <c r="A33" s="162" t="s">
        <v>36</v>
      </c>
      <c r="B33" s="163"/>
      <c r="C33" s="164"/>
      <c r="D33" s="25" t="s">
        <v>22</v>
      </c>
      <c r="E33" s="25" t="s">
        <v>11</v>
      </c>
      <c r="F33" s="25" t="s">
        <v>11</v>
      </c>
      <c r="G33" s="25" t="s">
        <v>22</v>
      </c>
      <c r="H33" s="25" t="s">
        <v>22</v>
      </c>
      <c r="I33" s="25" t="s">
        <v>11</v>
      </c>
      <c r="J33" s="25" t="s">
        <v>11</v>
      </c>
      <c r="K33" s="25" t="s">
        <v>11</v>
      </c>
      <c r="L33" s="25" t="s">
        <v>11</v>
      </c>
      <c r="M33" s="25" t="s">
        <v>11</v>
      </c>
      <c r="N33" s="25" t="s">
        <v>11</v>
      </c>
      <c r="O33" s="25" t="s">
        <v>11</v>
      </c>
      <c r="P33" s="25" t="s">
        <v>11</v>
      </c>
      <c r="Q33" s="25" t="s">
        <v>11</v>
      </c>
      <c r="R33" s="25" t="s">
        <v>11</v>
      </c>
      <c r="S33" s="25" t="s">
        <v>11</v>
      </c>
      <c r="T33" s="25" t="s">
        <v>11</v>
      </c>
      <c r="U33" s="25" t="s">
        <v>11</v>
      </c>
      <c r="V33" s="25" t="s">
        <v>11</v>
      </c>
      <c r="W33" s="25" t="s">
        <v>11</v>
      </c>
      <c r="X33" s="25" t="s">
        <v>11</v>
      </c>
      <c r="Y33" s="25" t="s">
        <v>11</v>
      </c>
      <c r="Z33" s="25" t="s">
        <v>11</v>
      </c>
      <c r="AA33" s="25" t="s">
        <v>11</v>
      </c>
      <c r="AB33" s="25" t="s">
        <v>11</v>
      </c>
      <c r="AC33" s="25" t="s">
        <v>11</v>
      </c>
      <c r="AD33" s="25" t="s">
        <v>11</v>
      </c>
      <c r="AE33" s="25" t="s">
        <v>11</v>
      </c>
      <c r="AF33" s="25" t="s">
        <v>11</v>
      </c>
      <c r="AG33" s="25" t="s">
        <v>11</v>
      </c>
      <c r="AH33" s="81" t="s">
        <v>11</v>
      </c>
      <c r="AI33" s="19">
        <f t="shared" si="0"/>
        <v>1</v>
      </c>
    </row>
    <row r="34" spans="1:44" ht="15.75" customHeight="1" x14ac:dyDescent="0.25">
      <c r="A34" s="162" t="s">
        <v>95</v>
      </c>
      <c r="B34" s="163"/>
      <c r="C34" s="164"/>
      <c r="D34" s="24" t="s">
        <v>22</v>
      </c>
      <c r="E34" s="24" t="s">
        <v>22</v>
      </c>
      <c r="F34" s="24" t="s">
        <v>22</v>
      </c>
      <c r="G34" s="24" t="s">
        <v>22</v>
      </c>
      <c r="H34" s="24" t="s">
        <v>22</v>
      </c>
      <c r="I34" s="24" t="s">
        <v>11</v>
      </c>
      <c r="J34" s="24" t="s">
        <v>11</v>
      </c>
      <c r="K34" s="24" t="s">
        <v>11</v>
      </c>
      <c r="L34" s="24" t="s">
        <v>11</v>
      </c>
      <c r="M34" s="24" t="s">
        <v>11</v>
      </c>
      <c r="N34" s="24" t="s">
        <v>11</v>
      </c>
      <c r="O34" s="24" t="s">
        <v>11</v>
      </c>
      <c r="P34" s="24" t="s">
        <v>11</v>
      </c>
      <c r="Q34" s="24" t="s">
        <v>11</v>
      </c>
      <c r="R34" s="24" t="s">
        <v>11</v>
      </c>
      <c r="S34" s="24" t="s">
        <v>11</v>
      </c>
      <c r="T34" s="24" t="s">
        <v>11</v>
      </c>
      <c r="U34" s="24" t="s">
        <v>11</v>
      </c>
      <c r="V34" s="24" t="s">
        <v>11</v>
      </c>
      <c r="W34" s="24" t="s">
        <v>11</v>
      </c>
      <c r="X34" s="24" t="s">
        <v>11</v>
      </c>
      <c r="Y34" s="24" t="s">
        <v>11</v>
      </c>
      <c r="Z34" s="24" t="s">
        <v>11</v>
      </c>
      <c r="AA34" s="25" t="s">
        <v>11</v>
      </c>
      <c r="AB34" s="25" t="s">
        <v>11</v>
      </c>
      <c r="AC34" s="25" t="s">
        <v>11</v>
      </c>
      <c r="AD34" s="25" t="s">
        <v>11</v>
      </c>
      <c r="AE34" s="25" t="s">
        <v>11</v>
      </c>
      <c r="AF34" s="25" t="s">
        <v>11</v>
      </c>
      <c r="AG34" s="25" t="s">
        <v>11</v>
      </c>
      <c r="AH34" s="25" t="s">
        <v>11</v>
      </c>
      <c r="AI34" s="19">
        <f t="shared" si="0"/>
        <v>1</v>
      </c>
    </row>
    <row r="35" spans="1:44" ht="15.75" customHeight="1" thickBot="1" x14ac:dyDescent="0.3">
      <c r="A35" s="165" t="s">
        <v>96</v>
      </c>
      <c r="B35" s="166"/>
      <c r="C35" s="167"/>
      <c r="D35" s="96" t="s">
        <v>22</v>
      </c>
      <c r="E35" s="96" t="s">
        <v>22</v>
      </c>
      <c r="F35" s="96" t="s">
        <v>22</v>
      </c>
      <c r="G35" s="96" t="s">
        <v>22</v>
      </c>
      <c r="H35" s="96" t="s">
        <v>22</v>
      </c>
      <c r="I35" s="96" t="s">
        <v>11</v>
      </c>
      <c r="J35" s="96" t="s">
        <v>11</v>
      </c>
      <c r="K35" s="96" t="s">
        <v>11</v>
      </c>
      <c r="L35" s="96" t="s">
        <v>11</v>
      </c>
      <c r="M35" s="96" t="s">
        <v>11</v>
      </c>
      <c r="N35" s="96" t="s">
        <v>11</v>
      </c>
      <c r="O35" s="96" t="s">
        <v>11</v>
      </c>
      <c r="P35" s="96" t="s">
        <v>11</v>
      </c>
      <c r="Q35" s="96" t="s">
        <v>11</v>
      </c>
      <c r="R35" s="96" t="s">
        <v>11</v>
      </c>
      <c r="S35" s="96" t="s">
        <v>11</v>
      </c>
      <c r="T35" s="96" t="s">
        <v>11</v>
      </c>
      <c r="U35" s="96" t="s">
        <v>11</v>
      </c>
      <c r="V35" s="96" t="s">
        <v>11</v>
      </c>
      <c r="W35" s="96" t="s">
        <v>11</v>
      </c>
      <c r="X35" s="96" t="s">
        <v>11</v>
      </c>
      <c r="Y35" s="96" t="s">
        <v>11</v>
      </c>
      <c r="Z35" s="96" t="s">
        <v>11</v>
      </c>
      <c r="AA35" s="97" t="s">
        <v>11</v>
      </c>
      <c r="AB35" s="97" t="s">
        <v>11</v>
      </c>
      <c r="AC35" s="97" t="s">
        <v>11</v>
      </c>
      <c r="AD35" s="97" t="s">
        <v>11</v>
      </c>
      <c r="AE35" s="97" t="s">
        <v>11</v>
      </c>
      <c r="AF35" s="97" t="s">
        <v>11</v>
      </c>
      <c r="AG35" s="97" t="s">
        <v>11</v>
      </c>
      <c r="AH35" s="97" t="s">
        <v>11</v>
      </c>
      <c r="AI35" s="98">
        <f t="shared" si="0"/>
        <v>1</v>
      </c>
    </row>
    <row r="36" spans="1:44" s="32" customFormat="1" ht="15.75" customHeight="1" x14ac:dyDescent="0.25">
      <c r="A36" s="150" t="s">
        <v>37</v>
      </c>
      <c r="B36" s="151"/>
      <c r="C36" s="152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7"/>
      <c r="S36" s="76"/>
      <c r="T36" s="76"/>
      <c r="U36" s="76"/>
      <c r="V36" s="76"/>
      <c r="W36" s="76"/>
      <c r="X36" s="76"/>
      <c r="Y36" s="76"/>
      <c r="Z36" s="76"/>
      <c r="AA36" s="93"/>
      <c r="AB36" s="76"/>
      <c r="AC36" s="76"/>
      <c r="AD36" s="76"/>
      <c r="AE36" s="76"/>
      <c r="AF36" s="76"/>
      <c r="AG36" s="76"/>
      <c r="AH36" s="78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68" t="s">
        <v>38</v>
      </c>
      <c r="B37" s="169"/>
      <c r="C37" s="170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87"/>
      <c r="W37" s="87"/>
      <c r="X37" s="87"/>
      <c r="Y37" s="87"/>
      <c r="Z37" s="87"/>
      <c r="AA37" s="94"/>
      <c r="AB37" s="87"/>
      <c r="AC37" s="87"/>
      <c r="AD37" s="87"/>
      <c r="AE37" s="87"/>
      <c r="AF37" s="87"/>
      <c r="AG37" s="87"/>
      <c r="AH37" s="89"/>
      <c r="AI37" s="35"/>
    </row>
    <row r="38" spans="1:44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/>
      </c>
      <c r="E38" s="37" t="str">
        <f>IF(AND(E5&gt;0,COUNTA(E6:E37)&gt;0,COUNTA(E6:E37)-COUNTIF(E6:E37,"NB")-COUNTIF(E30:E31, "0")=COUNTA(E6:E37)),"AB","")</f>
        <v/>
      </c>
      <c r="F38" s="37" t="str">
        <f>IF(AND(F5&gt;0,COUNTA(F6:F37)&gt;0,COUNTA(F6:F37)-COUNTIF(F6:F37,"NB")-COUNTIF(F30:F31, "0")=COUNTA(F6:F37)),"AB","")</f>
        <v/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/>
      </c>
      <c r="J38" s="37" t="str">
        <f t="shared" ref="J38:AH38" si="1">IF(AND(J5&gt;0,COUNTA(J6:J37)&gt;0,COUNTA(J6:J37)-COUNTIF(J6:J37,"NB")-COUNTIF(J30:J31, "0")=COUNTA(J6:J37)),"AB","")</f>
        <v>AB</v>
      </c>
      <c r="K38" s="37" t="str">
        <f t="shared" si="1"/>
        <v>AB</v>
      </c>
      <c r="L38" s="37" t="str">
        <f t="shared" si="1"/>
        <v>AB</v>
      </c>
      <c r="M38" s="37" t="str">
        <f t="shared" si="1"/>
        <v>AB</v>
      </c>
      <c r="N38" s="37" t="str">
        <f t="shared" si="1"/>
        <v/>
      </c>
      <c r="O38" s="37" t="str">
        <f t="shared" si="1"/>
        <v/>
      </c>
      <c r="P38" s="37" t="str">
        <f t="shared" si="1"/>
        <v>AB</v>
      </c>
      <c r="Q38" s="37" t="str">
        <f t="shared" si="1"/>
        <v>AB</v>
      </c>
      <c r="R38" s="37" t="str">
        <f t="shared" si="1"/>
        <v>AB</v>
      </c>
      <c r="S38" s="37" t="str">
        <f t="shared" si="1"/>
        <v>AB</v>
      </c>
      <c r="T38" s="37" t="str">
        <f t="shared" si="1"/>
        <v/>
      </c>
      <c r="U38" s="37" t="str">
        <f t="shared" si="1"/>
        <v/>
      </c>
      <c r="V38" s="37" t="str">
        <f t="shared" si="1"/>
        <v/>
      </c>
      <c r="W38" s="37" t="str">
        <f t="shared" si="1"/>
        <v/>
      </c>
      <c r="X38" s="37" t="str">
        <f t="shared" si="1"/>
        <v/>
      </c>
      <c r="Y38" s="37" t="str">
        <f t="shared" si="1"/>
        <v/>
      </c>
      <c r="Z38" s="37" t="str">
        <f t="shared" si="1"/>
        <v>AB</v>
      </c>
      <c r="AA38" s="37" t="str">
        <f t="shared" si="1"/>
        <v/>
      </c>
      <c r="AB38" s="37" t="str">
        <f t="shared" si="1"/>
        <v/>
      </c>
      <c r="AC38" s="37" t="str">
        <f t="shared" si="1"/>
        <v/>
      </c>
      <c r="AD38" s="37" t="str">
        <f t="shared" si="1"/>
        <v>AB</v>
      </c>
      <c r="AE38" s="37" t="str">
        <f t="shared" si="1"/>
        <v>AB</v>
      </c>
      <c r="AF38" s="37" t="str">
        <f t="shared" si="1"/>
        <v>AB</v>
      </c>
      <c r="AG38" s="37" t="str">
        <f t="shared" si="1"/>
        <v>AB</v>
      </c>
      <c r="AH38" s="37" t="str">
        <f t="shared" si="1"/>
        <v/>
      </c>
      <c r="AI38" s="35"/>
    </row>
    <row r="39" spans="1:44" ht="15.75" hidden="1" customHeight="1" x14ac:dyDescent="0.25">
      <c r="D39" s="38" t="str">
        <f>IF(AND(D5:D5&gt;0,COUNTA(D6:D35),COUNTIF(D6:D35,"NB")+COUNTIF(D6:D35,0)=COUNTA(D6:D35)),"ANB","")</f>
        <v/>
      </c>
      <c r="E39" s="38" t="str">
        <f>IF(AND(E5:E5&gt;0,COUNTA(E6:E35),COUNTIF(E6:E35,"NB")+COUNTIF(E6:E35,0)=COUNTA(E6:E35)),"ANB","")</f>
        <v/>
      </c>
      <c r="F39" s="38" t="str">
        <f>IF(AND(F5:F5&gt;0,COUNTA(F6:F35),COUNTIF(F6:F35,"NB")+COUNTIF(F6:F35,0)=COUNTA(F6:F35)),"ANB","")</f>
        <v/>
      </c>
      <c r="G39" s="38" t="str">
        <f>IF(AND(G5:G5&gt;0,COUNTA(G6:G35),COUNTIF(G6:G35,"NB")+COUNTIF(G6:G35,0)=COUNTA(G6:G35)),"ANB","")</f>
        <v/>
      </c>
      <c r="H39" s="38" t="str">
        <f>IF(AND(H5:H5&gt;0,COUNTA(H6:H35),COUNTIF(H6:H35,"NB")+COUNTIF(H6:H35,0)=COUNTA(H6:H35)),"ANB","")</f>
        <v/>
      </c>
      <c r="I39" s="38" t="str">
        <f>IF(AND(I5:I5&gt;0,COUNTA(I6:I31),COUNTIF(I6:I31,"NB")+COUNTIF(I6:I31,0)=COUNTA(I6:I31)),"ANB","")</f>
        <v/>
      </c>
      <c r="J39" s="38" t="str">
        <f t="shared" ref="J39:AH39" si="2">IF(AND(J5:J5&gt;0,COUNTA(J6:J35),COUNTIF(J6:J35,"NB")+COUNTIF(J6:J35,0)=COUNTA(J6:J35)),"ANB","")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str">
        <f t="shared" si="2"/>
        <v/>
      </c>
    </row>
    <row r="40" spans="1:44" ht="15.75" customHeight="1" thickBot="1" x14ac:dyDescent="0.3">
      <c r="D40" s="39"/>
      <c r="I40" s="104"/>
    </row>
    <row r="41" spans="1:44" ht="15.75" customHeight="1" thickBot="1" x14ac:dyDescent="0.3">
      <c r="A41" s="147" t="s">
        <v>39</v>
      </c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9"/>
    </row>
    <row r="42" spans="1:44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  <c r="AH49" s="59"/>
    </row>
    <row r="50" spans="1:35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COUNTA(D5:AH5)</f>
        <v>31</v>
      </c>
      <c r="AH50" s="59"/>
      <c r="AI50"/>
    </row>
    <row r="51" spans="1:35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COUNTIF(D38:AH38,"AB")</f>
        <v>13</v>
      </c>
      <c r="AH51" s="59"/>
      <c r="AI51"/>
    </row>
    <row r="52" spans="1:35" ht="15.75" customHeight="1" x14ac:dyDescent="0.25">
      <c r="A52" s="54" t="s">
        <v>82</v>
      </c>
      <c r="B52" t="s">
        <v>83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18</v>
      </c>
      <c r="AH52" s="59"/>
      <c r="AI52"/>
    </row>
    <row r="53" spans="1:35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41:AH41"/>
    <mergeCell ref="A30:C30"/>
    <mergeCell ref="A31:C31"/>
    <mergeCell ref="A32:C32"/>
    <mergeCell ref="A33:C33"/>
    <mergeCell ref="A36:C36"/>
    <mergeCell ref="A34:C34"/>
    <mergeCell ref="A35:C35"/>
    <mergeCell ref="A26:C26"/>
    <mergeCell ref="A27:C27"/>
    <mergeCell ref="A28:C28"/>
    <mergeCell ref="A29:C29"/>
    <mergeCell ref="A37:C37"/>
    <mergeCell ref="A21:C21"/>
    <mergeCell ref="A22:C22"/>
    <mergeCell ref="A23:C23"/>
    <mergeCell ref="A24:C24"/>
    <mergeCell ref="A25:C25"/>
    <mergeCell ref="A16:C16"/>
    <mergeCell ref="A17:C17"/>
    <mergeCell ref="A18:C18"/>
    <mergeCell ref="A19:C19"/>
    <mergeCell ref="A20:C20"/>
    <mergeCell ref="A11:C11"/>
    <mergeCell ref="A12:C12"/>
    <mergeCell ref="A13:C13"/>
    <mergeCell ref="A14:C14"/>
    <mergeCell ref="A15:C15"/>
    <mergeCell ref="A6:C6"/>
    <mergeCell ref="A7:C7"/>
    <mergeCell ref="A8:C8"/>
    <mergeCell ref="A9:C9"/>
    <mergeCell ref="A10:C10"/>
  </mergeCells>
  <conditionalFormatting sqref="AH22:AH26">
    <cfRule type="cellIs" dxfId="295" priority="515" stopIfTrue="1" operator="equal">
      <formula>"B"</formula>
    </cfRule>
    <cfRule type="cellIs" dxfId="294" priority="516" stopIfTrue="1" operator="equal">
      <formula>"M"</formula>
    </cfRule>
    <cfRule type="cellIs" dxfId="293" priority="517" stopIfTrue="1" operator="between">
      <formula>"NB"</formula>
      <formula>"NB^"</formula>
    </cfRule>
  </conditionalFormatting>
  <conditionalFormatting sqref="AH34">
    <cfRule type="cellIs" dxfId="292" priority="505" stopIfTrue="1" operator="equal">
      <formula>"B"</formula>
    </cfRule>
    <cfRule type="cellIs" dxfId="291" priority="506" stopIfTrue="1" operator="equal">
      <formula>"M"</formula>
    </cfRule>
    <cfRule type="cellIs" dxfId="290" priority="507" stopIfTrue="1" operator="between">
      <formula>"NB"</formula>
      <formula>"NB^"</formula>
    </cfRule>
  </conditionalFormatting>
  <conditionalFormatting sqref="U34:X34 AA34 AD34:AG34">
    <cfRule type="cellIs" dxfId="289" priority="502" stopIfTrue="1" operator="equal">
      <formula>"B"</formula>
    </cfRule>
    <cfRule type="cellIs" dxfId="288" priority="503" stopIfTrue="1" operator="equal">
      <formula>"M"</formula>
    </cfRule>
    <cfRule type="cellIs" dxfId="287" priority="504" stopIfTrue="1" operator="between">
      <formula>"NB"</formula>
      <formula>"NB^"</formula>
    </cfRule>
  </conditionalFormatting>
  <conditionalFormatting sqref="AH35">
    <cfRule type="cellIs" dxfId="286" priority="499" stopIfTrue="1" operator="equal">
      <formula>"B"</formula>
    </cfRule>
    <cfRule type="cellIs" dxfId="285" priority="500" stopIfTrue="1" operator="equal">
      <formula>"M"</formula>
    </cfRule>
    <cfRule type="cellIs" dxfId="284" priority="501" stopIfTrue="1" operator="between">
      <formula>"NB"</formula>
      <formula>"NB^"</formula>
    </cfRule>
  </conditionalFormatting>
  <conditionalFormatting sqref="U35:X35 AA35 AD35:AG35">
    <cfRule type="cellIs" dxfId="283" priority="496" stopIfTrue="1" operator="equal">
      <formula>"B"</formula>
    </cfRule>
    <cfRule type="cellIs" dxfId="282" priority="497" stopIfTrue="1" operator="equal">
      <formula>"M"</formula>
    </cfRule>
    <cfRule type="cellIs" dxfId="281" priority="498" stopIfTrue="1" operator="between">
      <formula>"NB"</formula>
      <formula>"NB^"</formula>
    </cfRule>
  </conditionalFormatting>
  <conditionalFormatting sqref="U8:X8 AA8 AD8:AH8">
    <cfRule type="cellIs" dxfId="280" priority="493" stopIfTrue="1" operator="equal">
      <formula>"B"</formula>
    </cfRule>
    <cfRule type="cellIs" dxfId="279" priority="494" stopIfTrue="1" operator="equal">
      <formula>"M"</formula>
    </cfRule>
    <cfRule type="cellIs" dxfId="278" priority="495" stopIfTrue="1" operator="between">
      <formula>"NB"</formula>
      <formula>"NB^"</formula>
    </cfRule>
  </conditionalFormatting>
  <conditionalFormatting sqref="P22 U6:X7 U30:X33 U18:X27 U9:X14 AA9:AA14 AA18:AA27 AA30:AA33 AA6:AA7 AD18:AG27 AD6:AG7 AD30:AH33 AD9:AG14">
    <cfRule type="cellIs" dxfId="277" priority="537" stopIfTrue="1" operator="equal">
      <formula>"B"</formula>
    </cfRule>
    <cfRule type="cellIs" dxfId="276" priority="538" stopIfTrue="1" operator="equal">
      <formula>"M"</formula>
    </cfRule>
    <cfRule type="cellIs" dxfId="275" priority="539" stopIfTrue="1" operator="between">
      <formula>"NB"</formula>
      <formula>"NB^"</formula>
    </cfRule>
  </conditionalFormatting>
  <conditionalFormatting sqref="AH28 U28:X29 AA28:AA29 AD28:AG29">
    <cfRule type="cellIs" dxfId="274" priority="540" stopIfTrue="1" operator="equal">
      <formula>0</formula>
    </cfRule>
  </conditionalFormatting>
  <conditionalFormatting sqref="AH29">
    <cfRule type="cellIs" dxfId="273" priority="536" stopIfTrue="1" operator="equal">
      <formula>0</formula>
    </cfRule>
  </conditionalFormatting>
  <conditionalFormatting sqref="U15:X17 AA15:AA17 AD15:AH17">
    <cfRule type="cellIs" dxfId="272" priority="527" stopIfTrue="1" operator="equal">
      <formula>"B"</formula>
    </cfRule>
    <cfRule type="cellIs" dxfId="271" priority="528" stopIfTrue="1" operator="equal">
      <formula>"M"</formula>
    </cfRule>
    <cfRule type="cellIs" dxfId="270" priority="529" stopIfTrue="1" operator="between">
      <formula>"NB"</formula>
      <formula>"NB^"</formula>
    </cfRule>
  </conditionalFormatting>
  <conditionalFormatting sqref="AH18:AH21 AH27">
    <cfRule type="cellIs" dxfId="269" priority="524" stopIfTrue="1" operator="equal">
      <formula>"B"</formula>
    </cfRule>
    <cfRule type="cellIs" dxfId="268" priority="525" stopIfTrue="1" operator="equal">
      <formula>"M"</formula>
    </cfRule>
    <cfRule type="cellIs" dxfId="267" priority="526" stopIfTrue="1" operator="between">
      <formula>"NB"</formula>
      <formula>"NB^"</formula>
    </cfRule>
  </conditionalFormatting>
  <conditionalFormatting sqref="AH6:AH7">
    <cfRule type="cellIs" dxfId="266" priority="521" stopIfTrue="1" operator="equal">
      <formula>"B"</formula>
    </cfRule>
    <cfRule type="cellIs" dxfId="265" priority="522" stopIfTrue="1" operator="equal">
      <formula>"M"</formula>
    </cfRule>
    <cfRule type="cellIs" dxfId="264" priority="523" stopIfTrue="1" operator="between">
      <formula>"NB"</formula>
      <formula>"NB^"</formula>
    </cfRule>
  </conditionalFormatting>
  <conditionalFormatting sqref="I8">
    <cfRule type="cellIs" dxfId="263" priority="480" stopIfTrue="1" operator="equal">
      <formula>"B"</formula>
    </cfRule>
    <cfRule type="cellIs" dxfId="262" priority="481" stopIfTrue="1" operator="equal">
      <formula>"M"</formula>
    </cfRule>
    <cfRule type="cellIs" dxfId="261" priority="482" stopIfTrue="1" operator="between">
      <formula>"NB"</formula>
      <formula>"NB^"</formula>
    </cfRule>
  </conditionalFormatting>
  <conditionalFormatting sqref="I22">
    <cfRule type="cellIs" dxfId="260" priority="448" stopIfTrue="1" operator="equal">
      <formula>"B"</formula>
    </cfRule>
    <cfRule type="cellIs" dxfId="259" priority="449" stopIfTrue="1" operator="equal">
      <formula>"M"</formula>
    </cfRule>
    <cfRule type="cellIs" dxfId="258" priority="450" stopIfTrue="1" operator="between">
      <formula>"NB"</formula>
      <formula>"NB^"</formula>
    </cfRule>
  </conditionalFormatting>
  <conditionalFormatting sqref="P30:P33 P27">
    <cfRule type="cellIs" dxfId="257" priority="391" stopIfTrue="1" operator="equal">
      <formula>"B"</formula>
    </cfRule>
    <cfRule type="cellIs" dxfId="256" priority="392" stopIfTrue="1" operator="equal">
      <formula>"M"</formula>
    </cfRule>
    <cfRule type="cellIs" dxfId="255" priority="393" stopIfTrue="1" operator="between">
      <formula>"NB"</formula>
      <formula>"NB^"</formula>
    </cfRule>
  </conditionalFormatting>
  <conditionalFormatting sqref="P28:P29">
    <cfRule type="cellIs" dxfId="254" priority="394" stopIfTrue="1" operator="equal">
      <formula>0</formula>
    </cfRule>
  </conditionalFormatting>
  <conditionalFormatting sqref="P34">
    <cfRule type="cellIs" dxfId="253" priority="382" stopIfTrue="1" operator="equal">
      <formula>"B"</formula>
    </cfRule>
    <cfRule type="cellIs" dxfId="252" priority="383" stopIfTrue="1" operator="equal">
      <formula>"M"</formula>
    </cfRule>
    <cfRule type="cellIs" dxfId="251" priority="384" stopIfTrue="1" operator="between">
      <formula>"NB"</formula>
      <formula>"NB^"</formula>
    </cfRule>
  </conditionalFormatting>
  <conditionalFormatting sqref="P35">
    <cfRule type="cellIs" dxfId="250" priority="379" stopIfTrue="1" operator="equal">
      <formula>"B"</formula>
    </cfRule>
    <cfRule type="cellIs" dxfId="249" priority="380" stopIfTrue="1" operator="equal">
      <formula>"M"</formula>
    </cfRule>
    <cfRule type="cellIs" dxfId="248" priority="381" stopIfTrue="1" operator="between">
      <formula>"NB"</formula>
      <formula>"NB^"</formula>
    </cfRule>
  </conditionalFormatting>
  <conditionalFormatting sqref="E9:I14">
    <cfRule type="cellIs" dxfId="247" priority="357" stopIfTrue="1" operator="equal">
      <formula>"B"</formula>
    </cfRule>
    <cfRule type="cellIs" dxfId="246" priority="358" stopIfTrue="1" operator="equal">
      <formula>"M"</formula>
    </cfRule>
    <cfRule type="cellIs" dxfId="245" priority="359" stopIfTrue="1" operator="between">
      <formula>"NB"</formula>
      <formula>"NB^"</formula>
    </cfRule>
  </conditionalFormatting>
  <conditionalFormatting sqref="E18:G27 H23:I27 H18:I21 E6:I7 E30:I33 H22">
    <cfRule type="cellIs" dxfId="244" priority="353" stopIfTrue="1" operator="equal">
      <formula>"B"</formula>
    </cfRule>
    <cfRule type="cellIs" dxfId="243" priority="354" stopIfTrue="1" operator="equal">
      <formula>"M"</formula>
    </cfRule>
    <cfRule type="cellIs" dxfId="242" priority="355" stopIfTrue="1" operator="between">
      <formula>"NB"</formula>
      <formula>"NB^"</formula>
    </cfRule>
  </conditionalFormatting>
  <conditionalFormatting sqref="E28:I29">
    <cfRule type="cellIs" dxfId="241" priority="356" stopIfTrue="1" operator="equal">
      <formula>0</formula>
    </cfRule>
  </conditionalFormatting>
  <conditionalFormatting sqref="E15:I17">
    <cfRule type="cellIs" dxfId="240" priority="350" stopIfTrue="1" operator="equal">
      <formula>"B"</formula>
    </cfRule>
    <cfRule type="cellIs" dxfId="239" priority="351" stopIfTrue="1" operator="equal">
      <formula>"M"</formula>
    </cfRule>
    <cfRule type="cellIs" dxfId="238" priority="352" stopIfTrue="1" operator="between">
      <formula>"NB"</formula>
      <formula>"NB^"</formula>
    </cfRule>
  </conditionalFormatting>
  <conditionalFormatting sqref="E8:H8">
    <cfRule type="cellIs" dxfId="237" priority="347" stopIfTrue="1" operator="equal">
      <formula>"B"</formula>
    </cfRule>
    <cfRule type="cellIs" dxfId="236" priority="348" stopIfTrue="1" operator="equal">
      <formula>"M"</formula>
    </cfRule>
    <cfRule type="cellIs" dxfId="235" priority="349" stopIfTrue="1" operator="between">
      <formula>"NB"</formula>
      <formula>"NB^"</formula>
    </cfRule>
  </conditionalFormatting>
  <conditionalFormatting sqref="E34:I34">
    <cfRule type="cellIs" dxfId="234" priority="344" stopIfTrue="1" operator="equal">
      <formula>"B"</formula>
    </cfRule>
    <cfRule type="cellIs" dxfId="233" priority="345" stopIfTrue="1" operator="equal">
      <formula>"M"</formula>
    </cfRule>
    <cfRule type="cellIs" dxfId="232" priority="346" stopIfTrue="1" operator="between">
      <formula>"NB"</formula>
      <formula>"NB^"</formula>
    </cfRule>
  </conditionalFormatting>
  <conditionalFormatting sqref="E35:I35">
    <cfRule type="cellIs" dxfId="231" priority="341" stopIfTrue="1" operator="equal">
      <formula>"B"</formula>
    </cfRule>
    <cfRule type="cellIs" dxfId="230" priority="342" stopIfTrue="1" operator="equal">
      <formula>"M"</formula>
    </cfRule>
    <cfRule type="cellIs" dxfId="229" priority="343" stopIfTrue="1" operator="between">
      <formula>"NB"</formula>
      <formula>"NB^"</formula>
    </cfRule>
  </conditionalFormatting>
  <conditionalFormatting sqref="J8">
    <cfRule type="cellIs" dxfId="228" priority="338" stopIfTrue="1" operator="equal">
      <formula>"B"</formula>
    </cfRule>
    <cfRule type="cellIs" dxfId="227" priority="339" stopIfTrue="1" operator="equal">
      <formula>"M"</formula>
    </cfRule>
    <cfRule type="cellIs" dxfId="226" priority="340" stopIfTrue="1" operator="between">
      <formula>"NB"</formula>
      <formula>"NB^"</formula>
    </cfRule>
  </conditionalFormatting>
  <conditionalFormatting sqref="J22">
    <cfRule type="cellIs" dxfId="225" priority="335" stopIfTrue="1" operator="equal">
      <formula>"B"</formula>
    </cfRule>
    <cfRule type="cellIs" dxfId="224" priority="336" stopIfTrue="1" operator="equal">
      <formula>"M"</formula>
    </cfRule>
    <cfRule type="cellIs" dxfId="223" priority="337" stopIfTrue="1" operator="between">
      <formula>"NB"</formula>
      <formula>"NB^"</formula>
    </cfRule>
  </conditionalFormatting>
  <conditionalFormatting sqref="J9:J14">
    <cfRule type="cellIs" dxfId="222" priority="332" stopIfTrue="1" operator="equal">
      <formula>"B"</formula>
    </cfRule>
    <cfRule type="cellIs" dxfId="221" priority="333" stopIfTrue="1" operator="equal">
      <formula>"M"</formula>
    </cfRule>
    <cfRule type="cellIs" dxfId="220" priority="334" stopIfTrue="1" operator="between">
      <formula>"NB"</formula>
      <formula>"NB^"</formula>
    </cfRule>
  </conditionalFormatting>
  <conditionalFormatting sqref="J6:J7 J18:J21 J30:J33 J23:J27">
    <cfRule type="cellIs" dxfId="219" priority="328" stopIfTrue="1" operator="equal">
      <formula>"B"</formula>
    </cfRule>
    <cfRule type="cellIs" dxfId="218" priority="329" stopIfTrue="1" operator="equal">
      <formula>"M"</formula>
    </cfRule>
    <cfRule type="cellIs" dxfId="217" priority="330" stopIfTrue="1" operator="between">
      <formula>"NB"</formula>
      <formula>"NB^"</formula>
    </cfRule>
  </conditionalFormatting>
  <conditionalFormatting sqref="J28:J29">
    <cfRule type="cellIs" dxfId="216" priority="331" stopIfTrue="1" operator="equal">
      <formula>0</formula>
    </cfRule>
  </conditionalFormatting>
  <conditionalFormatting sqref="J15:J17">
    <cfRule type="cellIs" dxfId="215" priority="325" stopIfTrue="1" operator="equal">
      <formula>"B"</formula>
    </cfRule>
    <cfRule type="cellIs" dxfId="214" priority="326" stopIfTrue="1" operator="equal">
      <formula>"M"</formula>
    </cfRule>
    <cfRule type="cellIs" dxfId="213" priority="327" stopIfTrue="1" operator="between">
      <formula>"NB"</formula>
      <formula>"NB^"</formula>
    </cfRule>
  </conditionalFormatting>
  <conditionalFormatting sqref="J34">
    <cfRule type="cellIs" dxfId="212" priority="322" stopIfTrue="1" operator="equal">
      <formula>"B"</formula>
    </cfRule>
    <cfRule type="cellIs" dxfId="211" priority="323" stopIfTrue="1" operator="equal">
      <formula>"M"</formula>
    </cfRule>
    <cfRule type="cellIs" dxfId="210" priority="324" stopIfTrue="1" operator="between">
      <formula>"NB"</formula>
      <formula>"NB^"</formula>
    </cfRule>
  </conditionalFormatting>
  <conditionalFormatting sqref="J35">
    <cfRule type="cellIs" dxfId="209" priority="319" stopIfTrue="1" operator="equal">
      <formula>"B"</formula>
    </cfRule>
    <cfRule type="cellIs" dxfId="208" priority="320" stopIfTrue="1" operator="equal">
      <formula>"M"</formula>
    </cfRule>
    <cfRule type="cellIs" dxfId="207" priority="321" stopIfTrue="1" operator="between">
      <formula>"NB"</formula>
      <formula>"NB^"</formula>
    </cfRule>
  </conditionalFormatting>
  <conditionalFormatting sqref="D23:D24">
    <cfRule type="cellIs" dxfId="206" priority="205" stopIfTrue="1" operator="equal">
      <formula>"B"</formula>
    </cfRule>
    <cfRule type="cellIs" dxfId="205" priority="206" stopIfTrue="1" operator="equal">
      <formula>"M"</formula>
    </cfRule>
    <cfRule type="cellIs" dxfId="204" priority="207" stopIfTrue="1" operator="between">
      <formula>"NB"</formula>
      <formula>"NB^"</formula>
    </cfRule>
  </conditionalFormatting>
  <conditionalFormatting sqref="D25:D26">
    <cfRule type="cellIs" dxfId="203" priority="202" stopIfTrue="1" operator="equal">
      <formula>"B"</formula>
    </cfRule>
    <cfRule type="cellIs" dxfId="202" priority="203" stopIfTrue="1" operator="equal">
      <formula>"M"</formula>
    </cfRule>
    <cfRule type="cellIs" dxfId="201" priority="204" stopIfTrue="1" operator="between">
      <formula>"NB"</formula>
      <formula>"NB^"</formula>
    </cfRule>
  </conditionalFormatting>
  <conditionalFormatting sqref="D30:D33 D27">
    <cfRule type="cellIs" dxfId="200" priority="198" stopIfTrue="1" operator="equal">
      <formula>"B"</formula>
    </cfRule>
    <cfRule type="cellIs" dxfId="199" priority="199" stopIfTrue="1" operator="equal">
      <formula>"M"</formula>
    </cfRule>
    <cfRule type="cellIs" dxfId="198" priority="200" stopIfTrue="1" operator="between">
      <formula>"NB"</formula>
      <formula>"NB^"</formula>
    </cfRule>
  </conditionalFormatting>
  <conditionalFormatting sqref="D28:D29">
    <cfRule type="cellIs" dxfId="197" priority="201" stopIfTrue="1" operator="equal">
      <formula>0</formula>
    </cfRule>
  </conditionalFormatting>
  <conditionalFormatting sqref="D34">
    <cfRule type="cellIs" dxfId="196" priority="195" stopIfTrue="1" operator="equal">
      <formula>"B"</formula>
    </cfRule>
    <cfRule type="cellIs" dxfId="195" priority="196" stopIfTrue="1" operator="equal">
      <formula>"M"</formula>
    </cfRule>
    <cfRule type="cellIs" dxfId="194" priority="197" stopIfTrue="1" operator="between">
      <formula>"NB"</formula>
      <formula>"NB^"</formula>
    </cfRule>
  </conditionalFormatting>
  <conditionalFormatting sqref="D35">
    <cfRule type="cellIs" dxfId="193" priority="192" stopIfTrue="1" operator="equal">
      <formula>"B"</formula>
    </cfRule>
    <cfRule type="cellIs" dxfId="192" priority="193" stopIfTrue="1" operator="equal">
      <formula>"M"</formula>
    </cfRule>
    <cfRule type="cellIs" dxfId="191" priority="194" stopIfTrue="1" operator="between">
      <formula>"NB"</formula>
      <formula>"NB^"</formula>
    </cfRule>
  </conditionalFormatting>
  <conditionalFormatting sqref="D18:D22 D6:D7">
    <cfRule type="cellIs" dxfId="190" priority="189" stopIfTrue="1" operator="equal">
      <formula>"B"</formula>
    </cfRule>
    <cfRule type="cellIs" dxfId="189" priority="190" stopIfTrue="1" operator="equal">
      <formula>"M"</formula>
    </cfRule>
    <cfRule type="cellIs" dxfId="188" priority="191" stopIfTrue="1" operator="between">
      <formula>"NB"</formula>
      <formula>"NB^"</formula>
    </cfRule>
  </conditionalFormatting>
  <conditionalFormatting sqref="D15:D17">
    <cfRule type="cellIs" dxfId="187" priority="186" stopIfTrue="1" operator="equal">
      <formula>"B"</formula>
    </cfRule>
    <cfRule type="cellIs" dxfId="186" priority="187" stopIfTrue="1" operator="equal">
      <formula>"M"</formula>
    </cfRule>
    <cfRule type="cellIs" dxfId="185" priority="188" stopIfTrue="1" operator="between">
      <formula>"NB"</formula>
      <formula>"NB^"</formula>
    </cfRule>
  </conditionalFormatting>
  <conditionalFormatting sqref="D8">
    <cfRule type="cellIs" dxfId="184" priority="183" stopIfTrue="1" operator="equal">
      <formula>"B"</formula>
    </cfRule>
    <cfRule type="cellIs" dxfId="183" priority="184" stopIfTrue="1" operator="equal">
      <formula>"M"</formula>
    </cfRule>
    <cfRule type="cellIs" dxfId="182" priority="185" stopIfTrue="1" operator="between">
      <formula>"NB"</formula>
      <formula>"NB^"</formula>
    </cfRule>
  </conditionalFormatting>
  <conditionalFormatting sqref="D9:D14">
    <cfRule type="cellIs" dxfId="181" priority="180" stopIfTrue="1" operator="equal">
      <formula>"B"</formula>
    </cfRule>
    <cfRule type="cellIs" dxfId="180" priority="181" stopIfTrue="1" operator="equal">
      <formula>"M"</formula>
    </cfRule>
    <cfRule type="cellIs" dxfId="179" priority="182" stopIfTrue="1" operator="between">
      <formula>"NB"</formula>
      <formula>"NB^"</formula>
    </cfRule>
  </conditionalFormatting>
  <conditionalFormatting sqref="K8">
    <cfRule type="cellIs" dxfId="178" priority="177" stopIfTrue="1" operator="equal">
      <formula>"B"</formula>
    </cfRule>
    <cfRule type="cellIs" dxfId="177" priority="178" stopIfTrue="1" operator="equal">
      <formula>"M"</formula>
    </cfRule>
    <cfRule type="cellIs" dxfId="176" priority="179" stopIfTrue="1" operator="between">
      <formula>"NB"</formula>
      <formula>"NB^"</formula>
    </cfRule>
  </conditionalFormatting>
  <conditionalFormatting sqref="K22">
    <cfRule type="cellIs" dxfId="175" priority="174" stopIfTrue="1" operator="equal">
      <formula>"B"</formula>
    </cfRule>
    <cfRule type="cellIs" dxfId="174" priority="175" stopIfTrue="1" operator="equal">
      <formula>"M"</formula>
    </cfRule>
    <cfRule type="cellIs" dxfId="173" priority="176" stopIfTrue="1" operator="between">
      <formula>"NB"</formula>
      <formula>"NB^"</formula>
    </cfRule>
  </conditionalFormatting>
  <conditionalFormatting sqref="K9:K14">
    <cfRule type="cellIs" dxfId="172" priority="171" stopIfTrue="1" operator="equal">
      <formula>"B"</formula>
    </cfRule>
    <cfRule type="cellIs" dxfId="171" priority="172" stopIfTrue="1" operator="equal">
      <formula>"M"</formula>
    </cfRule>
    <cfRule type="cellIs" dxfId="170" priority="173" stopIfTrue="1" operator="between">
      <formula>"NB"</formula>
      <formula>"NB^"</formula>
    </cfRule>
  </conditionalFormatting>
  <conditionalFormatting sqref="K6:K7 K18:K21 K30:K33 K23:K27">
    <cfRule type="cellIs" dxfId="169" priority="167" stopIfTrue="1" operator="equal">
      <formula>"B"</formula>
    </cfRule>
    <cfRule type="cellIs" dxfId="168" priority="168" stopIfTrue="1" operator="equal">
      <formula>"M"</formula>
    </cfRule>
    <cfRule type="cellIs" dxfId="167" priority="169" stopIfTrue="1" operator="between">
      <formula>"NB"</formula>
      <formula>"NB^"</formula>
    </cfRule>
  </conditionalFormatting>
  <conditionalFormatting sqref="K28:K29">
    <cfRule type="cellIs" dxfId="166" priority="170" stopIfTrue="1" operator="equal">
      <formula>0</formula>
    </cfRule>
  </conditionalFormatting>
  <conditionalFormatting sqref="K15:K17">
    <cfRule type="cellIs" dxfId="165" priority="164" stopIfTrue="1" operator="equal">
      <formula>"B"</formula>
    </cfRule>
    <cfRule type="cellIs" dxfId="164" priority="165" stopIfTrue="1" operator="equal">
      <formula>"M"</formula>
    </cfRule>
    <cfRule type="cellIs" dxfId="163" priority="166" stopIfTrue="1" operator="between">
      <formula>"NB"</formula>
      <formula>"NB^"</formula>
    </cfRule>
  </conditionalFormatting>
  <conditionalFormatting sqref="K34">
    <cfRule type="cellIs" dxfId="162" priority="161" stopIfTrue="1" operator="equal">
      <formula>"B"</formula>
    </cfRule>
    <cfRule type="cellIs" dxfId="161" priority="162" stopIfTrue="1" operator="equal">
      <formula>"M"</formula>
    </cfRule>
    <cfRule type="cellIs" dxfId="160" priority="163" stopIfTrue="1" operator="between">
      <formula>"NB"</formula>
      <formula>"NB^"</formula>
    </cfRule>
  </conditionalFormatting>
  <conditionalFormatting sqref="K35">
    <cfRule type="cellIs" dxfId="159" priority="158" stopIfTrue="1" operator="equal">
      <formula>"B"</formula>
    </cfRule>
    <cfRule type="cellIs" dxfId="158" priority="159" stopIfTrue="1" operator="equal">
      <formula>"M"</formula>
    </cfRule>
    <cfRule type="cellIs" dxfId="157" priority="160" stopIfTrue="1" operator="between">
      <formula>"NB"</formula>
      <formula>"NB^"</formula>
    </cfRule>
  </conditionalFormatting>
  <conditionalFormatting sqref="L8:O8">
    <cfRule type="cellIs" dxfId="156" priority="155" stopIfTrue="1" operator="equal">
      <formula>"B"</formula>
    </cfRule>
    <cfRule type="cellIs" dxfId="155" priority="156" stopIfTrue="1" operator="equal">
      <formula>"M"</formula>
    </cfRule>
    <cfRule type="cellIs" dxfId="154" priority="157" stopIfTrue="1" operator="between">
      <formula>"NB"</formula>
      <formula>"NB^"</formula>
    </cfRule>
  </conditionalFormatting>
  <conditionalFormatting sqref="L22:O22">
    <cfRule type="cellIs" dxfId="153" priority="152" stopIfTrue="1" operator="equal">
      <formula>"B"</formula>
    </cfRule>
    <cfRule type="cellIs" dxfId="152" priority="153" stopIfTrue="1" operator="equal">
      <formula>"M"</formula>
    </cfRule>
    <cfRule type="cellIs" dxfId="151" priority="154" stopIfTrue="1" operator="between">
      <formula>"NB"</formula>
      <formula>"NB^"</formula>
    </cfRule>
  </conditionalFormatting>
  <conditionalFormatting sqref="L9:O14">
    <cfRule type="cellIs" dxfId="150" priority="149" stopIfTrue="1" operator="equal">
      <formula>"B"</formula>
    </cfRule>
    <cfRule type="cellIs" dxfId="149" priority="150" stopIfTrue="1" operator="equal">
      <formula>"M"</formula>
    </cfRule>
    <cfRule type="cellIs" dxfId="148" priority="151" stopIfTrue="1" operator="between">
      <formula>"NB"</formula>
      <formula>"NB^"</formula>
    </cfRule>
  </conditionalFormatting>
  <conditionalFormatting sqref="L6:O7 L18:O21 L30:O33 L23:O27 P23:P26">
    <cfRule type="cellIs" dxfId="147" priority="145" stopIfTrue="1" operator="equal">
      <formula>"B"</formula>
    </cfRule>
    <cfRule type="cellIs" dxfId="146" priority="146" stopIfTrue="1" operator="equal">
      <formula>"M"</formula>
    </cfRule>
    <cfRule type="cellIs" dxfId="145" priority="147" stopIfTrue="1" operator="between">
      <formula>"NB"</formula>
      <formula>"NB^"</formula>
    </cfRule>
  </conditionalFormatting>
  <conditionalFormatting sqref="L28:O29">
    <cfRule type="cellIs" dxfId="144" priority="148" stopIfTrue="1" operator="equal">
      <formula>0</formula>
    </cfRule>
  </conditionalFormatting>
  <conditionalFormatting sqref="L15:O17">
    <cfRule type="cellIs" dxfId="143" priority="142" stopIfTrue="1" operator="equal">
      <formula>"B"</formula>
    </cfRule>
    <cfRule type="cellIs" dxfId="142" priority="143" stopIfTrue="1" operator="equal">
      <formula>"M"</formula>
    </cfRule>
    <cfRule type="cellIs" dxfId="141" priority="144" stopIfTrue="1" operator="between">
      <formula>"NB"</formula>
      <formula>"NB^"</formula>
    </cfRule>
  </conditionalFormatting>
  <conditionalFormatting sqref="L34:O34">
    <cfRule type="cellIs" dxfId="140" priority="139" stopIfTrue="1" operator="equal">
      <formula>"B"</formula>
    </cfRule>
    <cfRule type="cellIs" dxfId="139" priority="140" stopIfTrue="1" operator="equal">
      <formula>"M"</formula>
    </cfRule>
    <cfRule type="cellIs" dxfId="138" priority="141" stopIfTrue="1" operator="between">
      <formula>"NB"</formula>
      <formula>"NB^"</formula>
    </cfRule>
  </conditionalFormatting>
  <conditionalFormatting sqref="L35:O35">
    <cfRule type="cellIs" dxfId="137" priority="136" stopIfTrue="1" operator="equal">
      <formula>"B"</formula>
    </cfRule>
    <cfRule type="cellIs" dxfId="136" priority="137" stopIfTrue="1" operator="equal">
      <formula>"M"</formula>
    </cfRule>
    <cfRule type="cellIs" dxfId="135" priority="138" stopIfTrue="1" operator="between">
      <formula>"NB"</formula>
      <formula>"NB^"</formula>
    </cfRule>
  </conditionalFormatting>
  <conditionalFormatting sqref="P8">
    <cfRule type="cellIs" dxfId="134" priority="133" stopIfTrue="1" operator="equal">
      <formula>"B"</formula>
    </cfRule>
    <cfRule type="cellIs" dxfId="133" priority="134" stopIfTrue="1" operator="equal">
      <formula>"M"</formula>
    </cfRule>
    <cfRule type="cellIs" dxfId="132" priority="135" stopIfTrue="1" operator="between">
      <formula>"NB"</formula>
      <formula>"NB^"</formula>
    </cfRule>
  </conditionalFormatting>
  <conditionalFormatting sqref="P9:P14">
    <cfRule type="cellIs" dxfId="131" priority="130" stopIfTrue="1" operator="equal">
      <formula>"B"</formula>
    </cfRule>
    <cfRule type="cellIs" dxfId="130" priority="131" stopIfTrue="1" operator="equal">
      <formula>"M"</formula>
    </cfRule>
    <cfRule type="cellIs" dxfId="129" priority="132" stopIfTrue="1" operator="between">
      <formula>"NB"</formula>
      <formula>"NB^"</formula>
    </cfRule>
  </conditionalFormatting>
  <conditionalFormatting sqref="P6:P7 P18:P21">
    <cfRule type="cellIs" dxfId="128" priority="127" stopIfTrue="1" operator="equal">
      <formula>"B"</formula>
    </cfRule>
    <cfRule type="cellIs" dxfId="127" priority="128" stopIfTrue="1" operator="equal">
      <formula>"M"</formula>
    </cfRule>
    <cfRule type="cellIs" dxfId="126" priority="129" stopIfTrue="1" operator="between">
      <formula>"NB"</formula>
      <formula>"NB^"</formula>
    </cfRule>
  </conditionalFormatting>
  <conditionalFormatting sqref="P15:P17">
    <cfRule type="cellIs" dxfId="125" priority="124" stopIfTrue="1" operator="equal">
      <formula>"B"</formula>
    </cfRule>
    <cfRule type="cellIs" dxfId="124" priority="125" stopIfTrue="1" operator="equal">
      <formula>"M"</formula>
    </cfRule>
    <cfRule type="cellIs" dxfId="123" priority="126" stopIfTrue="1" operator="between">
      <formula>"NB"</formula>
      <formula>"NB^"</formula>
    </cfRule>
  </conditionalFormatting>
  <conditionalFormatting sqref="Q22">
    <cfRule type="cellIs" dxfId="122" priority="121" stopIfTrue="1" operator="equal">
      <formula>"B"</formula>
    </cfRule>
    <cfRule type="cellIs" dxfId="121" priority="122" stopIfTrue="1" operator="equal">
      <formula>"M"</formula>
    </cfRule>
    <cfRule type="cellIs" dxfId="120" priority="123" stopIfTrue="1" operator="between">
      <formula>"NB"</formula>
      <formula>"NB^"</formula>
    </cfRule>
  </conditionalFormatting>
  <conditionalFormatting sqref="Q30:Q33 Q27">
    <cfRule type="cellIs" dxfId="119" priority="117" stopIfTrue="1" operator="equal">
      <formula>"B"</formula>
    </cfRule>
    <cfRule type="cellIs" dxfId="118" priority="118" stopIfTrue="1" operator="equal">
      <formula>"M"</formula>
    </cfRule>
    <cfRule type="cellIs" dxfId="117" priority="119" stopIfTrue="1" operator="between">
      <formula>"NB"</formula>
      <formula>"NB^"</formula>
    </cfRule>
  </conditionalFormatting>
  <conditionalFormatting sqref="Q28:Q29">
    <cfRule type="cellIs" dxfId="116" priority="120" stopIfTrue="1" operator="equal">
      <formula>0</formula>
    </cfRule>
  </conditionalFormatting>
  <conditionalFormatting sqref="Q34">
    <cfRule type="cellIs" dxfId="115" priority="114" stopIfTrue="1" operator="equal">
      <formula>"B"</formula>
    </cfRule>
    <cfRule type="cellIs" dxfId="114" priority="115" stopIfTrue="1" operator="equal">
      <formula>"M"</formula>
    </cfRule>
    <cfRule type="cellIs" dxfId="113" priority="116" stopIfTrue="1" operator="between">
      <formula>"NB"</formula>
      <formula>"NB^"</formula>
    </cfRule>
  </conditionalFormatting>
  <conditionalFormatting sqref="Q35">
    <cfRule type="cellIs" dxfId="112" priority="111" stopIfTrue="1" operator="equal">
      <formula>"B"</formula>
    </cfRule>
    <cfRule type="cellIs" dxfId="111" priority="112" stopIfTrue="1" operator="equal">
      <formula>"M"</formula>
    </cfRule>
    <cfRule type="cellIs" dxfId="110" priority="113" stopIfTrue="1" operator="between">
      <formula>"NB"</formula>
      <formula>"NB^"</formula>
    </cfRule>
  </conditionalFormatting>
  <conditionalFormatting sqref="Q23:Q26">
    <cfRule type="cellIs" dxfId="109" priority="108" stopIfTrue="1" operator="equal">
      <formula>"B"</formula>
    </cfRule>
    <cfRule type="cellIs" dxfId="108" priority="109" stopIfTrue="1" operator="equal">
      <formula>"M"</formula>
    </cfRule>
    <cfRule type="cellIs" dxfId="107" priority="110" stopIfTrue="1" operator="between">
      <formula>"NB"</formula>
      <formula>"NB^"</formula>
    </cfRule>
  </conditionalFormatting>
  <conditionalFormatting sqref="Q8">
    <cfRule type="cellIs" dxfId="106" priority="105" stopIfTrue="1" operator="equal">
      <formula>"B"</formula>
    </cfRule>
    <cfRule type="cellIs" dxfId="105" priority="106" stopIfTrue="1" operator="equal">
      <formula>"M"</formula>
    </cfRule>
    <cfRule type="cellIs" dxfId="104" priority="107" stopIfTrue="1" operator="between">
      <formula>"NB"</formula>
      <formula>"NB^"</formula>
    </cfRule>
  </conditionalFormatting>
  <conditionalFormatting sqref="Q9:Q14">
    <cfRule type="cellIs" dxfId="103" priority="102" stopIfTrue="1" operator="equal">
      <formula>"B"</formula>
    </cfRule>
    <cfRule type="cellIs" dxfId="102" priority="103" stopIfTrue="1" operator="equal">
      <formula>"M"</formula>
    </cfRule>
    <cfRule type="cellIs" dxfId="101" priority="104" stopIfTrue="1" operator="between">
      <formula>"NB"</formula>
      <formula>"NB^"</formula>
    </cfRule>
  </conditionalFormatting>
  <conditionalFormatting sqref="Q6:Q7 Q18:Q21">
    <cfRule type="cellIs" dxfId="100" priority="99" stopIfTrue="1" operator="equal">
      <formula>"B"</formula>
    </cfRule>
    <cfRule type="cellIs" dxfId="99" priority="100" stopIfTrue="1" operator="equal">
      <formula>"M"</formula>
    </cfRule>
    <cfRule type="cellIs" dxfId="98" priority="101" stopIfTrue="1" operator="between">
      <formula>"NB"</formula>
      <formula>"NB^"</formula>
    </cfRule>
  </conditionalFormatting>
  <conditionalFormatting sqref="Q15:Q17">
    <cfRule type="cellIs" dxfId="97" priority="96" stopIfTrue="1" operator="equal">
      <formula>"B"</formula>
    </cfRule>
    <cfRule type="cellIs" dxfId="96" priority="97" stopIfTrue="1" operator="equal">
      <formula>"M"</formula>
    </cfRule>
    <cfRule type="cellIs" dxfId="95" priority="98" stopIfTrue="1" operator="between">
      <formula>"NB"</formula>
      <formula>"NB^"</formula>
    </cfRule>
  </conditionalFormatting>
  <conditionalFormatting sqref="R22:T22">
    <cfRule type="cellIs" dxfId="94" priority="93" stopIfTrue="1" operator="equal">
      <formula>"B"</formula>
    </cfRule>
    <cfRule type="cellIs" dxfId="93" priority="94" stopIfTrue="1" operator="equal">
      <formula>"M"</formula>
    </cfRule>
    <cfRule type="cellIs" dxfId="92" priority="95" stopIfTrue="1" operator="between">
      <formula>"NB"</formula>
      <formula>"NB^"</formula>
    </cfRule>
  </conditionalFormatting>
  <conditionalFormatting sqref="R30:T33 R27:T27">
    <cfRule type="cellIs" dxfId="91" priority="89" stopIfTrue="1" operator="equal">
      <formula>"B"</formula>
    </cfRule>
    <cfRule type="cellIs" dxfId="90" priority="90" stopIfTrue="1" operator="equal">
      <formula>"M"</formula>
    </cfRule>
    <cfRule type="cellIs" dxfId="89" priority="91" stopIfTrue="1" operator="between">
      <formula>"NB"</formula>
      <formula>"NB^"</formula>
    </cfRule>
  </conditionalFormatting>
  <conditionalFormatting sqref="R28:T29">
    <cfRule type="cellIs" dxfId="88" priority="92" stopIfTrue="1" operator="equal">
      <formula>0</formula>
    </cfRule>
  </conditionalFormatting>
  <conditionalFormatting sqref="R34:T34">
    <cfRule type="cellIs" dxfId="87" priority="86" stopIfTrue="1" operator="equal">
      <formula>"B"</formula>
    </cfRule>
    <cfRule type="cellIs" dxfId="86" priority="87" stopIfTrue="1" operator="equal">
      <formula>"M"</formula>
    </cfRule>
    <cfRule type="cellIs" dxfId="85" priority="88" stopIfTrue="1" operator="between">
      <formula>"NB"</formula>
      <formula>"NB^"</formula>
    </cfRule>
  </conditionalFormatting>
  <conditionalFormatting sqref="R35:T35">
    <cfRule type="cellIs" dxfId="84" priority="83" stopIfTrue="1" operator="equal">
      <formula>"B"</formula>
    </cfRule>
    <cfRule type="cellIs" dxfId="83" priority="84" stopIfTrue="1" operator="equal">
      <formula>"M"</formula>
    </cfRule>
    <cfRule type="cellIs" dxfId="82" priority="85" stopIfTrue="1" operator="between">
      <formula>"NB"</formula>
      <formula>"NB^"</formula>
    </cfRule>
  </conditionalFormatting>
  <conditionalFormatting sqref="R23:T26">
    <cfRule type="cellIs" dxfId="81" priority="80" stopIfTrue="1" operator="equal">
      <formula>"B"</formula>
    </cfRule>
    <cfRule type="cellIs" dxfId="80" priority="81" stopIfTrue="1" operator="equal">
      <formula>"M"</formula>
    </cfRule>
    <cfRule type="cellIs" dxfId="79" priority="82" stopIfTrue="1" operator="between">
      <formula>"NB"</formula>
      <formula>"NB^"</formula>
    </cfRule>
  </conditionalFormatting>
  <conditionalFormatting sqref="R8:T8">
    <cfRule type="cellIs" dxfId="78" priority="77" stopIfTrue="1" operator="equal">
      <formula>"B"</formula>
    </cfRule>
    <cfRule type="cellIs" dxfId="77" priority="78" stopIfTrue="1" operator="equal">
      <formula>"M"</formula>
    </cfRule>
    <cfRule type="cellIs" dxfId="76" priority="79" stopIfTrue="1" operator="between">
      <formula>"NB"</formula>
      <formula>"NB^"</formula>
    </cfRule>
  </conditionalFormatting>
  <conditionalFormatting sqref="R9:T14">
    <cfRule type="cellIs" dxfId="75" priority="74" stopIfTrue="1" operator="equal">
      <formula>"B"</formula>
    </cfRule>
    <cfRule type="cellIs" dxfId="74" priority="75" stopIfTrue="1" operator="equal">
      <formula>"M"</formula>
    </cfRule>
    <cfRule type="cellIs" dxfId="73" priority="76" stopIfTrue="1" operator="between">
      <formula>"NB"</formula>
      <formula>"NB^"</formula>
    </cfRule>
  </conditionalFormatting>
  <conditionalFormatting sqref="R6:T7 R18:T21">
    <cfRule type="cellIs" dxfId="72" priority="71" stopIfTrue="1" operator="equal">
      <formula>"B"</formula>
    </cfRule>
    <cfRule type="cellIs" dxfId="71" priority="72" stopIfTrue="1" operator="equal">
      <formula>"M"</formula>
    </cfRule>
    <cfRule type="cellIs" dxfId="70" priority="73" stopIfTrue="1" operator="between">
      <formula>"NB"</formula>
      <formula>"NB^"</formula>
    </cfRule>
  </conditionalFormatting>
  <conditionalFormatting sqref="R15:T17">
    <cfRule type="cellIs" dxfId="69" priority="68" stopIfTrue="1" operator="equal">
      <formula>"B"</formula>
    </cfRule>
    <cfRule type="cellIs" dxfId="68" priority="69" stopIfTrue="1" operator="equal">
      <formula>"M"</formula>
    </cfRule>
    <cfRule type="cellIs" dxfId="67" priority="70" stopIfTrue="1" operator="between">
      <formula>"NB"</formula>
      <formula>"NB^"</formula>
    </cfRule>
  </conditionalFormatting>
  <conditionalFormatting sqref="Y34">
    <cfRule type="cellIs" dxfId="66" priority="58" stopIfTrue="1" operator="equal">
      <formula>"B"</formula>
    </cfRule>
    <cfRule type="cellIs" dxfId="65" priority="59" stopIfTrue="1" operator="equal">
      <formula>"M"</formula>
    </cfRule>
    <cfRule type="cellIs" dxfId="64" priority="60" stopIfTrue="1" operator="between">
      <formula>"NB"</formula>
      <formula>"NB^"</formula>
    </cfRule>
  </conditionalFormatting>
  <conditionalFormatting sqref="Y35">
    <cfRule type="cellIs" dxfId="63" priority="55" stopIfTrue="1" operator="equal">
      <formula>"B"</formula>
    </cfRule>
    <cfRule type="cellIs" dxfId="62" priority="56" stopIfTrue="1" operator="equal">
      <formula>"M"</formula>
    </cfRule>
    <cfRule type="cellIs" dxfId="61" priority="57" stopIfTrue="1" operator="between">
      <formula>"NB"</formula>
      <formula>"NB^"</formula>
    </cfRule>
  </conditionalFormatting>
  <conditionalFormatting sqref="Y8">
    <cfRule type="cellIs" dxfId="60" priority="52" stopIfTrue="1" operator="equal">
      <formula>"B"</formula>
    </cfRule>
    <cfRule type="cellIs" dxfId="59" priority="53" stopIfTrue="1" operator="equal">
      <formula>"M"</formula>
    </cfRule>
    <cfRule type="cellIs" dxfId="58" priority="54" stopIfTrue="1" operator="between">
      <formula>"NB"</formula>
      <formula>"NB^"</formula>
    </cfRule>
  </conditionalFormatting>
  <conditionalFormatting sqref="Y6:Y7 Y30:Y33 Y18:Y27 Y9:Y14">
    <cfRule type="cellIs" dxfId="57" priority="64" stopIfTrue="1" operator="equal">
      <formula>"B"</formula>
    </cfRule>
    <cfRule type="cellIs" dxfId="56" priority="65" stopIfTrue="1" operator="equal">
      <formula>"M"</formula>
    </cfRule>
    <cfRule type="cellIs" dxfId="55" priority="66" stopIfTrue="1" operator="between">
      <formula>"NB"</formula>
      <formula>"NB^"</formula>
    </cfRule>
  </conditionalFormatting>
  <conditionalFormatting sqref="Y28:Y29">
    <cfRule type="cellIs" dxfId="54" priority="67" stopIfTrue="1" operator="equal">
      <formula>0</formula>
    </cfRule>
  </conditionalFormatting>
  <conditionalFormatting sqref="Y15:Y17">
    <cfRule type="cellIs" dxfId="53" priority="61" stopIfTrue="1" operator="equal">
      <formula>"B"</formula>
    </cfRule>
    <cfRule type="cellIs" dxfId="52" priority="62" stopIfTrue="1" operator="equal">
      <formula>"M"</formula>
    </cfRule>
    <cfRule type="cellIs" dxfId="51" priority="63" stopIfTrue="1" operator="between">
      <formula>"NB"</formula>
      <formula>"NB^"</formula>
    </cfRule>
  </conditionalFormatting>
  <conditionalFormatting sqref="Z34">
    <cfRule type="cellIs" dxfId="50" priority="42" stopIfTrue="1" operator="equal">
      <formula>"B"</formula>
    </cfRule>
    <cfRule type="cellIs" dxfId="49" priority="43" stopIfTrue="1" operator="equal">
      <formula>"M"</formula>
    </cfRule>
    <cfRule type="cellIs" dxfId="48" priority="44" stopIfTrue="1" operator="between">
      <formula>"NB"</formula>
      <formula>"NB^"</formula>
    </cfRule>
  </conditionalFormatting>
  <conditionalFormatting sqref="Z35">
    <cfRule type="cellIs" dxfId="47" priority="39" stopIfTrue="1" operator="equal">
      <formula>"B"</formula>
    </cfRule>
    <cfRule type="cellIs" dxfId="46" priority="40" stopIfTrue="1" operator="equal">
      <formula>"M"</formula>
    </cfRule>
    <cfRule type="cellIs" dxfId="45" priority="41" stopIfTrue="1" operator="between">
      <formula>"NB"</formula>
      <formula>"NB^"</formula>
    </cfRule>
  </conditionalFormatting>
  <conditionalFormatting sqref="Z8">
    <cfRule type="cellIs" dxfId="44" priority="36" stopIfTrue="1" operator="equal">
      <formula>"B"</formula>
    </cfRule>
    <cfRule type="cellIs" dxfId="43" priority="37" stopIfTrue="1" operator="equal">
      <formula>"M"</formula>
    </cfRule>
    <cfRule type="cellIs" dxfId="42" priority="38" stopIfTrue="1" operator="between">
      <formula>"NB"</formula>
      <formula>"NB^"</formula>
    </cfRule>
  </conditionalFormatting>
  <conditionalFormatting sqref="Z6:Z7 Z30:Z33 Z18:Z27 Z9:Z14">
    <cfRule type="cellIs" dxfId="41" priority="48" stopIfTrue="1" operator="equal">
      <formula>"B"</formula>
    </cfRule>
    <cfRule type="cellIs" dxfId="40" priority="49" stopIfTrue="1" operator="equal">
      <formula>"M"</formula>
    </cfRule>
    <cfRule type="cellIs" dxfId="39" priority="50" stopIfTrue="1" operator="between">
      <formula>"NB"</formula>
      <formula>"NB^"</formula>
    </cfRule>
  </conditionalFormatting>
  <conditionalFormatting sqref="Z28:Z29">
    <cfRule type="cellIs" dxfId="38" priority="51" stopIfTrue="1" operator="equal">
      <formula>0</formula>
    </cfRule>
  </conditionalFormatting>
  <conditionalFormatting sqref="Z15:Z17">
    <cfRule type="cellIs" dxfId="37" priority="45" stopIfTrue="1" operator="equal">
      <formula>"B"</formula>
    </cfRule>
    <cfRule type="cellIs" dxfId="36" priority="46" stopIfTrue="1" operator="equal">
      <formula>"M"</formula>
    </cfRule>
    <cfRule type="cellIs" dxfId="35" priority="47" stopIfTrue="1" operator="between">
      <formula>"NB"</formula>
      <formula>"NB^"</formula>
    </cfRule>
  </conditionalFormatting>
  <conditionalFormatting sqref="AB34">
    <cfRule type="cellIs" dxfId="34" priority="26" stopIfTrue="1" operator="equal">
      <formula>"B"</formula>
    </cfRule>
    <cfRule type="cellIs" dxfId="33" priority="27" stopIfTrue="1" operator="equal">
      <formula>"M"</formula>
    </cfRule>
    <cfRule type="cellIs" dxfId="32" priority="28" stopIfTrue="1" operator="between">
      <formula>"NB"</formula>
      <formula>"NB^"</formula>
    </cfRule>
  </conditionalFormatting>
  <conditionalFormatting sqref="AB35">
    <cfRule type="cellIs" dxfId="31" priority="23" stopIfTrue="1" operator="equal">
      <formula>"B"</formula>
    </cfRule>
    <cfRule type="cellIs" dxfId="30" priority="24" stopIfTrue="1" operator="equal">
      <formula>"M"</formula>
    </cfRule>
    <cfRule type="cellIs" dxfId="29" priority="25" stopIfTrue="1" operator="between">
      <formula>"NB"</formula>
      <formula>"NB^"</formula>
    </cfRule>
  </conditionalFormatting>
  <conditionalFormatting sqref="AB8">
    <cfRule type="cellIs" dxfId="28" priority="20" stopIfTrue="1" operator="equal">
      <formula>"B"</formula>
    </cfRule>
    <cfRule type="cellIs" dxfId="27" priority="21" stopIfTrue="1" operator="equal">
      <formula>"M"</formula>
    </cfRule>
    <cfRule type="cellIs" dxfId="26" priority="22" stopIfTrue="1" operator="between">
      <formula>"NB"</formula>
      <formula>"NB^"</formula>
    </cfRule>
  </conditionalFormatting>
  <conditionalFormatting sqref="AB9:AB14 AB18:AB27 AB30:AB33 AB6:AB7">
    <cfRule type="cellIs" dxfId="25" priority="32" stopIfTrue="1" operator="equal">
      <formula>"B"</formula>
    </cfRule>
    <cfRule type="cellIs" dxfId="24" priority="33" stopIfTrue="1" operator="equal">
      <formula>"M"</formula>
    </cfRule>
    <cfRule type="cellIs" dxfId="23" priority="34" stopIfTrue="1" operator="between">
      <formula>"NB"</formula>
      <formula>"NB^"</formula>
    </cfRule>
  </conditionalFormatting>
  <conditionalFormatting sqref="AB28:AB29">
    <cfRule type="cellIs" dxfId="22" priority="35" stopIfTrue="1" operator="equal">
      <formula>0</formula>
    </cfRule>
  </conditionalFormatting>
  <conditionalFormatting sqref="AB15:AB17">
    <cfRule type="cellIs" dxfId="21" priority="29" stopIfTrue="1" operator="equal">
      <formula>"B"</formula>
    </cfRule>
    <cfRule type="cellIs" dxfId="20" priority="30" stopIfTrue="1" operator="equal">
      <formula>"M"</formula>
    </cfRule>
    <cfRule type="cellIs" dxfId="19" priority="31" stopIfTrue="1" operator="between">
      <formula>"NB"</formula>
      <formula>"NB^"</formula>
    </cfRule>
  </conditionalFormatting>
  <conditionalFormatting sqref="AC34">
    <cfRule type="cellIs" dxfId="18" priority="10" stopIfTrue="1" operator="equal">
      <formula>"B"</formula>
    </cfRule>
    <cfRule type="cellIs" dxfId="17" priority="11" stopIfTrue="1" operator="equal">
      <formula>"M"</formula>
    </cfRule>
    <cfRule type="cellIs" dxfId="16" priority="12" stopIfTrue="1" operator="between">
      <formula>"NB"</formula>
      <formula>"NB^"</formula>
    </cfRule>
  </conditionalFormatting>
  <conditionalFormatting sqref="AC35">
    <cfRule type="cellIs" dxfId="15" priority="7" stopIfTrue="1" operator="equal">
      <formula>"B"</formula>
    </cfRule>
    <cfRule type="cellIs" dxfId="14" priority="8" stopIfTrue="1" operator="equal">
      <formula>"M"</formula>
    </cfRule>
    <cfRule type="cellIs" dxfId="13" priority="9" stopIfTrue="1" operator="between">
      <formula>"NB"</formula>
      <formula>"NB^"</formula>
    </cfRule>
  </conditionalFormatting>
  <conditionalFormatting sqref="AC8">
    <cfRule type="cellIs" dxfId="12" priority="4" stopIfTrue="1" operator="equal">
      <formula>"B"</formula>
    </cfRule>
    <cfRule type="cellIs" dxfId="11" priority="5" stopIfTrue="1" operator="equal">
      <formula>"M"</formula>
    </cfRule>
    <cfRule type="cellIs" dxfId="10" priority="6" stopIfTrue="1" operator="between">
      <formula>"NB"</formula>
      <formula>"NB^"</formula>
    </cfRule>
  </conditionalFormatting>
  <conditionalFormatting sqref="AC9:AC14 AC18:AC27 AC30:AC33 AC6:AC7">
    <cfRule type="cellIs" dxfId="9" priority="16" stopIfTrue="1" operator="equal">
      <formula>"B"</formula>
    </cfRule>
    <cfRule type="cellIs" dxfId="8" priority="17" stopIfTrue="1" operator="equal">
      <formula>"M"</formula>
    </cfRule>
    <cfRule type="cellIs" dxfId="7" priority="18" stopIfTrue="1" operator="between">
      <formula>"NB"</formula>
      <formula>"NB^"</formula>
    </cfRule>
  </conditionalFormatting>
  <conditionalFormatting sqref="AC28:AC29">
    <cfRule type="cellIs" dxfId="6" priority="19" stopIfTrue="1" operator="equal">
      <formula>0</formula>
    </cfRule>
  </conditionalFormatting>
  <conditionalFormatting sqref="AC15:AC17">
    <cfRule type="cellIs" dxfId="5" priority="13" stopIfTrue="1" operator="equal">
      <formula>"B"</formula>
    </cfRule>
    <cfRule type="cellIs" dxfId="4" priority="14" stopIfTrue="1" operator="equal">
      <formula>"M"</formula>
    </cfRule>
    <cfRule type="cellIs" dxfId="3" priority="15" stopIfTrue="1" operator="between">
      <formula>"NB"</formula>
      <formula>"NB^"</formula>
    </cfRule>
  </conditionalFormatting>
  <conditionalFormatting sqref="AH9:AH14">
    <cfRule type="cellIs" dxfId="2" priority="1" stopIfTrue="1" operator="equal">
      <formula>"B"</formula>
    </cfRule>
    <cfRule type="cellIs" dxfId="1" priority="2" stopIfTrue="1" operator="equal">
      <formula>"M"</formula>
    </cfRule>
    <cfRule type="cellIs" dxfId="0" priority="3" stopIfTrue="1" operator="between">
      <formula>"NB"</formula>
      <formula>"NB^"</formula>
    </cfRule>
  </conditionalFormatting>
  <pageMargins left="0.75" right="0.75" top="1" bottom="1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FB9ABF1FBDD4459097CABDA9EFDF69" ma:contentTypeVersion="14" ma:contentTypeDescription="Create a new document." ma:contentTypeScope="" ma:versionID="76a1a51dfce5fbc47b66612ed4a89103">
  <xsd:schema xmlns:xsd="http://www.w3.org/2001/XMLSchema" xmlns:xs="http://www.w3.org/2001/XMLSchema" xmlns:p="http://schemas.microsoft.com/office/2006/metadata/properties" xmlns:ns2="2d5042a8-484b-4992-8f9f-9e9535c892a6" xmlns:ns3="5f0084e0-cc01-4204-a452-6df7e8bad642" targetNamespace="http://schemas.microsoft.com/office/2006/metadata/properties" ma:root="true" ma:fieldsID="fc9f45ee8324f3f8414a8b7271e2d481" ns2:_="" ns3:_="">
    <xsd:import namespace="2d5042a8-484b-4992-8f9f-9e9535c892a6"/>
    <xsd:import namespace="5f0084e0-cc01-4204-a452-6df7e8bad6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042a8-484b-4992-8f9f-9e9535c89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91a9775-3525-4bf8-b88d-b7eef9d67d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0084e0-cc01-4204-a452-6df7e8bad642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5042a8-484b-4992-8f9f-9e9535c892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62FD25-0666-42B9-9C6C-6B922FD9964B}"/>
</file>

<file path=customXml/itemProps2.xml><?xml version="1.0" encoding="utf-8"?>
<ds:datastoreItem xmlns:ds="http://schemas.openxmlformats.org/officeDocument/2006/customXml" ds:itemID="{389D3F15-3A7E-429F-9B4D-58D82A553B89}"/>
</file>

<file path=customXml/itemProps3.xml><?xml version="1.0" encoding="utf-8"?>
<ds:datastoreItem xmlns:ds="http://schemas.openxmlformats.org/officeDocument/2006/customXml" ds:itemID="{A962BE99-F536-4839-9779-8A5BDEE2E3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March</vt:lpstr>
      <vt:lpstr>April</vt:lpstr>
      <vt:lpstr>May</vt:lpstr>
      <vt:lpstr>Jun</vt:lpstr>
      <vt:lpstr>Jul</vt:lpstr>
      <vt:lpstr>Aug</vt:lpstr>
      <vt:lpstr>Sep</vt:lpstr>
      <vt:lpstr>Oct</vt:lpstr>
      <vt:lpstr>Nov</vt:lpstr>
      <vt:lpstr>Dec</vt:lpstr>
    </vt:vector>
  </TitlesOfParts>
  <Company>carb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armet1</dc:creator>
  <cp:lastModifiedBy>Lancero, Jeff@ARB</cp:lastModifiedBy>
  <dcterms:created xsi:type="dcterms:W3CDTF">2014-12-06T16:58:35Z</dcterms:created>
  <dcterms:modified xsi:type="dcterms:W3CDTF">2023-04-26T21:37:44Z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0x01010007FB9ABF1FBDD4459097CABDA9EFDF69</vt:lpwstr>
  </property>
</Properties>
</file>